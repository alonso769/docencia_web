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therine.pareja\Desktop\DANIEL\CAMPOS FORMACION\"/>
    </mc:Choice>
  </mc:AlternateContent>
  <xr:revisionPtr revIDLastSave="0" documentId="13_ncr:1_{BE1D7A13-74E2-4D20-8BBE-B27D65788D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3" sheetId="4" r:id="rId1"/>
    <sheet name="Hoja1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MP2J2U397cnR01DDm2m9LIp4M7gGlxU1nHA3CrIrUP4="/>
    </ext>
  </extLst>
</workbook>
</file>

<file path=xl/calcChain.xml><?xml version="1.0" encoding="utf-8"?>
<calcChain xmlns="http://schemas.openxmlformats.org/spreadsheetml/2006/main">
  <c r="E101" i="4" l="1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D101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D98" i="4"/>
  <c r="V100" i="4"/>
  <c r="V99" i="4"/>
  <c r="W2" i="5" l="1"/>
  <c r="U1" i="5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D89" i="4"/>
  <c r="V97" i="4"/>
  <c r="V96" i="4"/>
  <c r="V95" i="4"/>
  <c r="V94" i="4"/>
  <c r="V93" i="4"/>
  <c r="V92" i="4"/>
  <c r="V91" i="4"/>
  <c r="V90" i="4"/>
  <c r="V88" i="4"/>
  <c r="V87" i="4"/>
  <c r="V86" i="4"/>
  <c r="V85" i="4"/>
  <c r="V84" i="4"/>
  <c r="V83" i="4"/>
  <c r="V82" i="4"/>
  <c r="V81" i="4"/>
  <c r="V80" i="4"/>
  <c r="V79" i="4"/>
  <c r="V78" i="4"/>
  <c r="V77" i="4"/>
  <c r="V76" i="4"/>
  <c r="V75" i="4"/>
  <c r="V74" i="4"/>
  <c r="V73" i="4"/>
  <c r="V72" i="4"/>
  <c r="V71" i="4"/>
  <c r="V70" i="4"/>
  <c r="V69" i="4"/>
  <c r="V68" i="4"/>
  <c r="V67" i="4"/>
  <c r="V66" i="4"/>
  <c r="V65" i="4"/>
  <c r="V64" i="4"/>
  <c r="V63" i="4"/>
  <c r="V62" i="4"/>
  <c r="V61" i="4"/>
  <c r="V60" i="4"/>
  <c r="V59" i="4"/>
  <c r="V58" i="4"/>
  <c r="V57" i="4"/>
  <c r="V56" i="4"/>
  <c r="V55" i="4"/>
  <c r="V54" i="4"/>
  <c r="V53" i="4"/>
  <c r="V52" i="4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98" i="4" l="1"/>
  <c r="V89" i="4"/>
  <c r="V101" i="4" s="1"/>
</calcChain>
</file>

<file path=xl/sharedStrings.xml><?xml version="1.0" encoding="utf-8"?>
<sst xmlns="http://schemas.openxmlformats.org/spreadsheetml/2006/main" count="310" uniqueCount="131">
  <si>
    <t>Total por EESS</t>
  </si>
  <si>
    <t>MEDICINA HUMANA</t>
  </si>
  <si>
    <t>ENFERMERÍA</t>
  </si>
  <si>
    <t>OBSTETRICIA</t>
  </si>
  <si>
    <t>ODONTOLOGÍA</t>
  </si>
  <si>
    <t>NUTRICIÓN</t>
  </si>
  <si>
    <t>TECNOLOGÍA MÉDICA</t>
  </si>
  <si>
    <t>FARMACIA Y BIOQUÍMICA</t>
  </si>
  <si>
    <t>PSICOLOGÍA</t>
  </si>
  <si>
    <t>BIOLOGÍA</t>
  </si>
  <si>
    <t>TRABAJO
SOCIAL</t>
  </si>
  <si>
    <t>CSMI EL PORVENIR</t>
  </si>
  <si>
    <t>NO</t>
  </si>
  <si>
    <t>CSMI SURQUILLO</t>
  </si>
  <si>
    <t>CSMC SAN COSME</t>
  </si>
  <si>
    <t>CSMC SAN MARCOS</t>
  </si>
  <si>
    <t>CSMC SAN BORJA</t>
  </si>
  <si>
    <t>HOSPITAL NACIONAL DOS DE MAYO</t>
  </si>
  <si>
    <t>SI</t>
  </si>
  <si>
    <t>HOSPITAL NACIONAL ARZOBISPO LOAYZA</t>
  </si>
  <si>
    <t>HOSPITAL SAN JUAN DE LURIGANCHO</t>
  </si>
  <si>
    <t>HOSPITAL NACIONAL SAN BARTOLOME</t>
  </si>
  <si>
    <t>HOSPITAL DE EMERGENCIAS JOSE CASIMIRO ULLOA</t>
  </si>
  <si>
    <t>HOSPITAL SANTA ROSA</t>
  </si>
  <si>
    <t>HOSPITAL VICTOR LARCO HERRERA</t>
  </si>
  <si>
    <t>HOSPITAL DE EMERGENCIAS PEDIÁTRICAS</t>
  </si>
  <si>
    <t>TOTAL</t>
  </si>
  <si>
    <t>(*) Los EESS del I nivel de atención son para asignación de campos de formación; los EESS de II y III nivel de atención son para rotaciones (según DA N° 331-MINSA/DIGEP-2022)</t>
  </si>
  <si>
    <t>LABORATORIO REFERENCIAL</t>
  </si>
  <si>
    <t>CS CONDE DE LA VEGA</t>
  </si>
  <si>
    <t>CS CONTROL DE ZOONOSIS</t>
  </si>
  <si>
    <t>CS JUAN PEREZ CARRANZA</t>
  </si>
  <si>
    <t>CS MIRONES</t>
  </si>
  <si>
    <t>CS MIRONES BAJO</t>
  </si>
  <si>
    <t>CS SAN SEBASTIAN</t>
  </si>
  <si>
    <t>CS UNIDAD VECINAL N°3</t>
  </si>
  <si>
    <t>CS VILLA MARIA DEL PERPETUO SOCORRO</t>
  </si>
  <si>
    <t>CSMC KUYANAKUSUN</t>
  </si>
  <si>
    <t>CSMC MIRONES BAJO</t>
  </si>
  <si>
    <t>PS PALERMO</t>
  </si>
  <si>
    <t>PS RESCATE</t>
  </si>
  <si>
    <t>PS SANTA ROSA</t>
  </si>
  <si>
    <t>CS BREÑA</t>
  </si>
  <si>
    <t>CS CHACRA COLORADA</t>
  </si>
  <si>
    <t>CS HUACA PANDO</t>
  </si>
  <si>
    <t>CS JESUS MARIA</t>
  </si>
  <si>
    <t>CS SAN MIGUEL</t>
  </si>
  <si>
    <t>CSM EXCELENCIA SAN MIGUEL</t>
  </si>
  <si>
    <t>CSMC HONORIO DELGADO</t>
  </si>
  <si>
    <t>CSMC JESUS MARIA</t>
  </si>
  <si>
    <t>CSMC MAGDALENA</t>
  </si>
  <si>
    <t>CSMI MAGDALENA</t>
  </si>
  <si>
    <t>CS LINCE</t>
  </si>
  <si>
    <t>CS SAM ATANACIO DE PEDREGAL</t>
  </si>
  <si>
    <t>CS SAN ISIDRO</t>
  </si>
  <si>
    <t>CS SANTA CRUZ MIRAFLORES</t>
  </si>
  <si>
    <t>CS VILLA VICTORIA PORVENIR</t>
  </si>
  <si>
    <t>CSMC SAN ISIDRO</t>
  </si>
  <si>
    <t>CSMC SURQUILLO</t>
  </si>
  <si>
    <t>CS EL PINO</t>
  </si>
  <si>
    <t>CS MAX ARIAS SCHREIBER</t>
  </si>
  <si>
    <t>CS SAN COSME</t>
  </si>
  <si>
    <t>CS SAN LUIS</t>
  </si>
  <si>
    <t>CS TODOS LOS SANTOS SAN BORJA</t>
  </si>
  <si>
    <t>CSMC LA VICTORIA</t>
  </si>
  <si>
    <t>PS EL PINO</t>
  </si>
  <si>
    <t>PS SAN JUAN MASIAS</t>
  </si>
  <si>
    <t>CS CAJA DE AGUA</t>
  </si>
  <si>
    <t>CS CAMPOY</t>
  </si>
  <si>
    <t>CS CHACARILLA DE OTERO</t>
  </si>
  <si>
    <t>CS DANIEL ALCIDES CARRION</t>
  </si>
  <si>
    <t>CS LA HUAYRONA</t>
  </si>
  <si>
    <t>CS LA LIBERTAD</t>
  </si>
  <si>
    <t>CS MANGOMARCA</t>
  </si>
  <si>
    <t>CS SAN FERNANDO</t>
  </si>
  <si>
    <t>CS SANTA FE DE TOTORITA</t>
  </si>
  <si>
    <t>CS SANTA ROSA DE LIMA</t>
  </si>
  <si>
    <t>CS ZARATE</t>
  </si>
  <si>
    <t>CSMC JAVIER MARIATEGUI</t>
  </si>
  <si>
    <t>CSMC MANGOMARCA</t>
  </si>
  <si>
    <t>CSMC VILLA CAMPOY</t>
  </si>
  <si>
    <t>PS 15 DE ENERO</t>
  </si>
  <si>
    <t>PS AZCARRUNZ ALTO</t>
  </si>
  <si>
    <t>CS BAYOVAR</t>
  </si>
  <si>
    <t>CS GANIMENDES</t>
  </si>
  <si>
    <t>CS HUASCAR II</t>
  </si>
  <si>
    <t>CS HUASCAR XV</t>
  </si>
  <si>
    <t>CS MEDALLA MILAGROSA</t>
  </si>
  <si>
    <t>CS SAN HILARION</t>
  </si>
  <si>
    <t>CSMC JAIME ZUBIETA</t>
  </si>
  <si>
    <t>CSMC NUEVO PERÚ</t>
  </si>
  <si>
    <t>PS AYACUCHO</t>
  </si>
  <si>
    <t>PS PROYECTOS ESPECIALES</t>
  </si>
  <si>
    <t>PS SAGRADA FAMILIA</t>
  </si>
  <si>
    <t>CS 10 DE OCTUBRE</t>
  </si>
  <si>
    <t>CS CRUZ DE MOTUPE</t>
  </si>
  <si>
    <t>CS ENRIQUE MONTENEGRO</t>
  </si>
  <si>
    <t>CS JAIME ZUBIETA</t>
  </si>
  <si>
    <t>CS JOSE CARLOS MARIATEGUI</t>
  </si>
  <si>
    <t>CS JUAN PABLO II</t>
  </si>
  <si>
    <t>CS SANTA MARIA</t>
  </si>
  <si>
    <t>PS CESAR VALLEJO</t>
  </si>
  <si>
    <t>PS JOSE CARLOS MARIATEGUI V ETAPA</t>
  </si>
  <si>
    <t>PS MARISCAL CACERES</t>
  </si>
  <si>
    <t>PS TUPAC AMARU II</t>
  </si>
  <si>
    <t>MEDICINA VETERINARIA</t>
  </si>
  <si>
    <t>INGENIERIA SANITARIA</t>
  </si>
  <si>
    <t>QUIMICA</t>
  </si>
  <si>
    <t>PS JARDÍN ROSA DE SANTA MARÍA</t>
  </si>
  <si>
    <t>I-3</t>
  </si>
  <si>
    <t>I-2</t>
  </si>
  <si>
    <t>I-4</t>
  </si>
  <si>
    <t>NÚMERO DE CAMPOS DE FORMACIÓN - DIRIS LIMA CENTRO 2026</t>
  </si>
  <si>
    <t>LAB. CLÍNICOY ANAT. PATOLÓGICA</t>
  </si>
  <si>
    <t>TERAPIA FÍSICA Y REHABILITACIÓN</t>
  </si>
  <si>
    <t>RADIOLOGÍA</t>
  </si>
  <si>
    <t>TERAPIA DE LENGUAJE</t>
  </si>
  <si>
    <t>TERAPIA OCUPACIONAL</t>
  </si>
  <si>
    <t>OPTOMETRÍA</t>
  </si>
  <si>
    <t>CS ITS Y VIH RAUL PATRUCCO PUIG</t>
  </si>
  <si>
    <t>Provincia/Red/RIS</t>
  </si>
  <si>
    <t>Autorizada como Sede docente (SI/NO)</t>
  </si>
  <si>
    <t>CATEGORÍA</t>
  </si>
  <si>
    <t>HOSPITALES</t>
  </si>
  <si>
    <t>III-1</t>
  </si>
  <si>
    <t>II-2</t>
  </si>
  <si>
    <t>III-E</t>
  </si>
  <si>
    <t>EESS por provincia/Red/RIS*</t>
  </si>
  <si>
    <t>INSTITUTOS</t>
  </si>
  <si>
    <t>INSTITUTO NACIONAL MATERNO PERINATAL</t>
  </si>
  <si>
    <t>INSTITUTO NACIONAL DE SALUD DEL NIÑO BREÑA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</si>
</sst>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Calibri"/>
      <scheme val="minor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name val="Calibri"/>
      <family val="2"/>
    </font>
    <font>
      <b/>
      <sz val="10"/>
      <color rgb="FF000000"/>
      <name val="Arial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2"/>
      <name val="Calibri"/>
      <family val="2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7F7F7F"/>
        <bgColor rgb="FF7F7F7F"/>
      </patternFill>
    </fill>
    <fill>
      <patternFill patternType="solid">
        <fgColor rgb="FF92D050"/>
        <bgColor rgb="FF92D050"/>
      </patternFill>
    </fill>
    <fill>
      <patternFill patternType="solid">
        <fgColor rgb="FFC5E0B3"/>
        <bgColor rgb="FFC5E0B3"/>
      </patternFill>
    </fill>
    <fill>
      <patternFill patternType="solid">
        <fgColor theme="1"/>
        <bgColor theme="1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7" fillId="0" borderId="4"/>
  </cellStyleXfs>
  <cellXfs count="75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5" fillId="0" borderId="0" xfId="0" applyFont="1"/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4" borderId="4" xfId="0" applyFont="1" applyFill="1" applyBorder="1"/>
    <xf numFmtId="0" fontId="4" fillId="4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2" fillId="2" borderId="1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1" fillId="5" borderId="1" xfId="0" applyFont="1" applyFill="1" applyBorder="1"/>
    <xf numFmtId="0" fontId="12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4" fillId="3" borderId="15" xfId="0" applyFont="1" applyFill="1" applyBorder="1" applyAlignment="1">
      <alignment vertical="center"/>
    </xf>
    <xf numFmtId="0" fontId="1" fillId="2" borderId="11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2" fillId="2" borderId="1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left"/>
    </xf>
    <xf numFmtId="0" fontId="8" fillId="2" borderId="11" xfId="0" applyFont="1" applyFill="1" applyBorder="1" applyAlignment="1">
      <alignment horizontal="center" vertical="center" wrapText="1"/>
    </xf>
    <xf numFmtId="0" fontId="9" fillId="0" borderId="11" xfId="0" applyFont="1" applyBorder="1"/>
    <xf numFmtId="0" fontId="2" fillId="2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14" fillId="2" borderId="7" xfId="0" applyFont="1" applyFill="1" applyBorder="1" applyAlignment="1">
      <alignment horizontal="center" vertical="center" wrapText="1"/>
    </xf>
    <xf numFmtId="0" fontId="15" fillId="0" borderId="3" xfId="0" applyFont="1" applyBorder="1"/>
    <xf numFmtId="0" fontId="15" fillId="0" borderId="2" xfId="0" applyFont="1" applyBorder="1"/>
    <xf numFmtId="0" fontId="1" fillId="2" borderId="11" xfId="0" applyFont="1" applyFill="1" applyBorder="1" applyAlignment="1">
      <alignment horizontal="center" vertical="center"/>
    </xf>
    <xf numFmtId="0" fontId="16" fillId="7" borderId="11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3" borderId="15" xfId="0" applyFont="1" applyFill="1" applyBorder="1" applyAlignment="1">
      <alignment horizontal="left" vertical="center"/>
    </xf>
    <xf numFmtId="0" fontId="4" fillId="3" borderId="16" xfId="0" applyFont="1" applyFill="1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0" fillId="6" borderId="17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8EC0D72F-9B2D-47DC-91D4-1942B3ACAF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FA73F-AA1F-4591-BE43-D527A2F7083F}">
  <sheetPr>
    <pageSetUpPr fitToPage="1"/>
  </sheetPr>
  <dimension ref="A1:V104"/>
  <sheetViews>
    <sheetView tabSelected="1" workbookViewId="0">
      <pane xSplit="1" ySplit="3" topLeftCell="B73" activePane="bottomRight" state="frozen"/>
      <selection pane="topRight" activeCell="C1" sqref="C1"/>
      <selection pane="bottomLeft" activeCell="A4" sqref="A4"/>
      <selection pane="bottomRight" activeCell="C95" sqref="C95"/>
    </sheetView>
  </sheetViews>
  <sheetFormatPr baseColWidth="10" defaultRowHeight="15.75" x14ac:dyDescent="0.25"/>
  <cols>
    <col min="1" max="1" width="45.125" customWidth="1"/>
    <col min="7" max="7" width="12.125" customWidth="1"/>
  </cols>
  <sheetData>
    <row r="1" spans="1:22" ht="15.75" customHeight="1" x14ac:dyDescent="0.25">
      <c r="A1" s="50" t="s">
        <v>127</v>
      </c>
      <c r="B1" s="58" t="s">
        <v>121</v>
      </c>
      <c r="C1" s="52" t="s">
        <v>122</v>
      </c>
      <c r="D1" s="61" t="s">
        <v>112</v>
      </c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17"/>
      <c r="U1" s="17"/>
      <c r="V1" s="50" t="s">
        <v>0</v>
      </c>
    </row>
    <row r="2" spans="1:22" x14ac:dyDescent="0.25">
      <c r="A2" s="57"/>
      <c r="B2" s="59"/>
      <c r="C2" s="52"/>
      <c r="D2" s="52" t="s">
        <v>1</v>
      </c>
      <c r="E2" s="52" t="s">
        <v>2</v>
      </c>
      <c r="F2" s="52" t="s">
        <v>3</v>
      </c>
      <c r="G2" s="52" t="s">
        <v>4</v>
      </c>
      <c r="H2" s="52" t="s">
        <v>5</v>
      </c>
      <c r="I2" s="56" t="s">
        <v>6</v>
      </c>
      <c r="J2" s="51"/>
      <c r="K2" s="51"/>
      <c r="L2" s="51"/>
      <c r="M2" s="51"/>
      <c r="N2" s="51"/>
      <c r="O2" s="52" t="s">
        <v>7</v>
      </c>
      <c r="P2" s="52" t="s">
        <v>8</v>
      </c>
      <c r="Q2" s="52" t="s">
        <v>9</v>
      </c>
      <c r="R2" s="52" t="s">
        <v>10</v>
      </c>
      <c r="S2" s="54" t="s">
        <v>105</v>
      </c>
      <c r="T2" s="54" t="s">
        <v>106</v>
      </c>
      <c r="U2" s="54" t="s">
        <v>107</v>
      </c>
      <c r="V2" s="51"/>
    </row>
    <row r="3" spans="1:22" ht="51" x14ac:dyDescent="0.25">
      <c r="A3" s="57"/>
      <c r="B3" s="60"/>
      <c r="C3" s="52"/>
      <c r="D3" s="52"/>
      <c r="E3" s="51"/>
      <c r="F3" s="51"/>
      <c r="G3" s="51"/>
      <c r="H3" s="51"/>
      <c r="I3" s="16" t="s">
        <v>113</v>
      </c>
      <c r="J3" s="16" t="s">
        <v>114</v>
      </c>
      <c r="K3" s="16" t="s">
        <v>115</v>
      </c>
      <c r="L3" s="16" t="s">
        <v>116</v>
      </c>
      <c r="M3" s="16" t="s">
        <v>117</v>
      </c>
      <c r="N3" s="16" t="s">
        <v>118</v>
      </c>
      <c r="O3" s="51"/>
      <c r="P3" s="51"/>
      <c r="Q3" s="51"/>
      <c r="R3" s="51"/>
      <c r="S3" s="55"/>
      <c r="T3" s="55"/>
      <c r="U3" s="55"/>
      <c r="V3" s="51"/>
    </row>
    <row r="4" spans="1:22" x14ac:dyDescent="0.25">
      <c r="A4" s="43" t="s">
        <v>120</v>
      </c>
      <c r="B4" s="44"/>
      <c r="C4" s="44"/>
      <c r="D4" s="45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7"/>
    </row>
    <row r="5" spans="1:22" x14ac:dyDescent="0.25">
      <c r="A5" s="36" t="s">
        <v>29</v>
      </c>
      <c r="B5" s="18" t="s">
        <v>12</v>
      </c>
      <c r="C5" s="19" t="s">
        <v>109</v>
      </c>
      <c r="D5" s="20">
        <v>20</v>
      </c>
      <c r="E5" s="20">
        <v>12</v>
      </c>
      <c r="F5" s="21">
        <v>2</v>
      </c>
      <c r="G5" s="21">
        <v>0</v>
      </c>
      <c r="H5" s="21">
        <v>8</v>
      </c>
      <c r="I5" s="21">
        <v>2</v>
      </c>
      <c r="J5" s="21">
        <v>0</v>
      </c>
      <c r="K5" s="21">
        <v>0</v>
      </c>
      <c r="L5" s="21">
        <v>0</v>
      </c>
      <c r="M5" s="21">
        <v>0</v>
      </c>
      <c r="N5" s="21">
        <v>0</v>
      </c>
      <c r="O5" s="21">
        <v>0</v>
      </c>
      <c r="P5" s="21">
        <v>8</v>
      </c>
      <c r="Q5" s="21">
        <v>0</v>
      </c>
      <c r="R5" s="21">
        <v>0</v>
      </c>
      <c r="S5" s="21">
        <v>0</v>
      </c>
      <c r="T5" s="21">
        <v>0</v>
      </c>
      <c r="U5" s="21">
        <v>0</v>
      </c>
      <c r="V5" s="20">
        <f>SUM(D5:U5)</f>
        <v>52</v>
      </c>
    </row>
    <row r="6" spans="1:22" x14ac:dyDescent="0.25">
      <c r="A6" s="37" t="s">
        <v>30</v>
      </c>
      <c r="B6" s="14" t="s">
        <v>12</v>
      </c>
      <c r="C6" s="22" t="s">
        <v>109</v>
      </c>
      <c r="D6" s="6">
        <v>2</v>
      </c>
      <c r="E6" s="6">
        <v>2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3">
        <v>0</v>
      </c>
      <c r="L6" s="23">
        <v>0</v>
      </c>
      <c r="M6" s="23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2</v>
      </c>
      <c r="T6" s="23">
        <v>0</v>
      </c>
      <c r="U6" s="23">
        <v>0</v>
      </c>
      <c r="V6" s="6">
        <f t="shared" ref="V6:V69" si="0">SUM(D6:U6)</f>
        <v>6</v>
      </c>
    </row>
    <row r="7" spans="1:22" x14ac:dyDescent="0.25">
      <c r="A7" s="38" t="s">
        <v>119</v>
      </c>
      <c r="B7" s="14" t="s">
        <v>12</v>
      </c>
      <c r="C7" s="22" t="s">
        <v>109</v>
      </c>
      <c r="D7" s="6">
        <v>4</v>
      </c>
      <c r="E7" s="6">
        <v>2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2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6">
        <f t="shared" si="0"/>
        <v>8</v>
      </c>
    </row>
    <row r="8" spans="1:22" x14ac:dyDescent="0.25">
      <c r="A8" s="38" t="s">
        <v>31</v>
      </c>
      <c r="B8" s="14" t="s">
        <v>12</v>
      </c>
      <c r="C8" s="22" t="s">
        <v>109</v>
      </c>
      <c r="D8" s="6">
        <v>20</v>
      </c>
      <c r="E8" s="6">
        <v>12</v>
      </c>
      <c r="F8" s="4">
        <v>4</v>
      </c>
      <c r="G8" s="4">
        <v>2</v>
      </c>
      <c r="H8" s="4">
        <v>4</v>
      </c>
      <c r="I8" s="4">
        <v>4</v>
      </c>
      <c r="J8" s="4">
        <v>4</v>
      </c>
      <c r="K8" s="4">
        <v>4</v>
      </c>
      <c r="L8" s="4">
        <v>4</v>
      </c>
      <c r="M8" s="4">
        <v>2</v>
      </c>
      <c r="N8" s="4">
        <v>2</v>
      </c>
      <c r="O8" s="4">
        <v>2</v>
      </c>
      <c r="P8" s="4">
        <v>6</v>
      </c>
      <c r="Q8" s="4">
        <v>0</v>
      </c>
      <c r="R8" s="4">
        <v>4</v>
      </c>
      <c r="S8" s="4">
        <v>4</v>
      </c>
      <c r="T8" s="4">
        <v>2</v>
      </c>
      <c r="U8" s="4">
        <v>0</v>
      </c>
      <c r="V8" s="6">
        <f t="shared" si="0"/>
        <v>80</v>
      </c>
    </row>
    <row r="9" spans="1:22" x14ac:dyDescent="0.25">
      <c r="A9" s="38" t="s">
        <v>32</v>
      </c>
      <c r="B9" s="14" t="s">
        <v>12</v>
      </c>
      <c r="C9" s="22" t="s">
        <v>109</v>
      </c>
      <c r="D9" s="6">
        <v>9</v>
      </c>
      <c r="E9" s="6">
        <v>12</v>
      </c>
      <c r="F9" s="4">
        <v>3</v>
      </c>
      <c r="G9" s="4">
        <v>3</v>
      </c>
      <c r="H9" s="4">
        <v>4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2</v>
      </c>
      <c r="Q9" s="4">
        <v>0</v>
      </c>
      <c r="R9" s="4">
        <v>0</v>
      </c>
      <c r="S9" s="4">
        <v>0</v>
      </c>
      <c r="T9" s="4">
        <v>1</v>
      </c>
      <c r="U9" s="4">
        <v>0</v>
      </c>
      <c r="V9" s="6">
        <f t="shared" si="0"/>
        <v>34</v>
      </c>
    </row>
    <row r="10" spans="1:22" x14ac:dyDescent="0.25">
      <c r="A10" s="38" t="s">
        <v>33</v>
      </c>
      <c r="B10" s="14" t="s">
        <v>12</v>
      </c>
      <c r="C10" s="22" t="s">
        <v>109</v>
      </c>
      <c r="D10" s="6">
        <v>2</v>
      </c>
      <c r="E10" s="6">
        <v>2</v>
      </c>
      <c r="F10" s="4">
        <v>2</v>
      </c>
      <c r="G10" s="4">
        <v>2</v>
      </c>
      <c r="H10" s="4">
        <v>1</v>
      </c>
      <c r="I10" s="4">
        <v>2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2</v>
      </c>
      <c r="P10" s="4">
        <v>3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1">
        <f t="shared" si="0"/>
        <v>16</v>
      </c>
    </row>
    <row r="11" spans="1:22" x14ac:dyDescent="0.25">
      <c r="A11" s="38" t="s">
        <v>34</v>
      </c>
      <c r="B11" s="14" t="s">
        <v>12</v>
      </c>
      <c r="C11" s="22" t="s">
        <v>109</v>
      </c>
      <c r="D11" s="6">
        <v>15</v>
      </c>
      <c r="E11" s="6">
        <v>10</v>
      </c>
      <c r="F11" s="4">
        <v>6</v>
      </c>
      <c r="G11" s="4">
        <v>4</v>
      </c>
      <c r="H11" s="4">
        <v>10</v>
      </c>
      <c r="I11" s="4">
        <v>5</v>
      </c>
      <c r="J11" s="4">
        <v>0</v>
      </c>
      <c r="K11" s="4">
        <v>2</v>
      </c>
      <c r="L11" s="4">
        <v>0</v>
      </c>
      <c r="M11" s="4">
        <v>0</v>
      </c>
      <c r="N11" s="4">
        <v>0</v>
      </c>
      <c r="O11" s="4">
        <v>2</v>
      </c>
      <c r="P11" s="4">
        <v>4</v>
      </c>
      <c r="Q11" s="4">
        <v>0</v>
      </c>
      <c r="R11" s="4">
        <v>8</v>
      </c>
      <c r="S11" s="4">
        <v>0</v>
      </c>
      <c r="T11" s="4">
        <v>0</v>
      </c>
      <c r="U11" s="4">
        <v>0</v>
      </c>
      <c r="V11" s="1">
        <f t="shared" si="0"/>
        <v>66</v>
      </c>
    </row>
    <row r="12" spans="1:22" x14ac:dyDescent="0.25">
      <c r="A12" s="38" t="s">
        <v>35</v>
      </c>
      <c r="B12" s="14" t="s">
        <v>12</v>
      </c>
      <c r="C12" s="22" t="s">
        <v>109</v>
      </c>
      <c r="D12" s="6">
        <v>10</v>
      </c>
      <c r="E12" s="6">
        <v>8</v>
      </c>
      <c r="F12" s="4">
        <v>3</v>
      </c>
      <c r="G12" s="4">
        <v>4</v>
      </c>
      <c r="H12" s="4">
        <v>2</v>
      </c>
      <c r="I12" s="4">
        <v>2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3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1">
        <f t="shared" si="0"/>
        <v>32</v>
      </c>
    </row>
    <row r="13" spans="1:22" x14ac:dyDescent="0.25">
      <c r="A13" s="38" t="s">
        <v>36</v>
      </c>
      <c r="B13" s="14" t="s">
        <v>12</v>
      </c>
      <c r="C13" s="22" t="s">
        <v>109</v>
      </c>
      <c r="D13" s="6">
        <v>4</v>
      </c>
      <c r="E13" s="6">
        <v>8</v>
      </c>
      <c r="F13" s="4">
        <v>2</v>
      </c>
      <c r="G13" s="4">
        <v>2</v>
      </c>
      <c r="H13" s="4">
        <v>2</v>
      </c>
      <c r="I13" s="4">
        <v>2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2</v>
      </c>
      <c r="P13" s="4">
        <v>4</v>
      </c>
      <c r="Q13" s="4">
        <v>0</v>
      </c>
      <c r="R13" s="4">
        <v>2</v>
      </c>
      <c r="S13" s="4">
        <v>0</v>
      </c>
      <c r="T13" s="4">
        <v>0</v>
      </c>
      <c r="U13" s="4">
        <v>0</v>
      </c>
      <c r="V13" s="1">
        <f t="shared" si="0"/>
        <v>28</v>
      </c>
    </row>
    <row r="14" spans="1:22" x14ac:dyDescent="0.25">
      <c r="A14" s="38" t="s">
        <v>37</v>
      </c>
      <c r="B14" s="14" t="s">
        <v>12</v>
      </c>
      <c r="C14" s="22" t="s">
        <v>109</v>
      </c>
      <c r="D14" s="6">
        <v>0</v>
      </c>
      <c r="E14" s="6">
        <v>0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1">
        <f t="shared" si="0"/>
        <v>0</v>
      </c>
    </row>
    <row r="15" spans="1:22" x14ac:dyDescent="0.25">
      <c r="A15" s="38" t="s">
        <v>38</v>
      </c>
      <c r="B15" s="14" t="s">
        <v>12</v>
      </c>
      <c r="C15" s="22" t="s">
        <v>109</v>
      </c>
      <c r="D15" s="6">
        <v>0</v>
      </c>
      <c r="E15" s="6">
        <v>4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2</v>
      </c>
      <c r="M15" s="4">
        <v>4</v>
      </c>
      <c r="N15" s="4">
        <v>0</v>
      </c>
      <c r="O15" s="4">
        <v>1</v>
      </c>
      <c r="P15" s="4">
        <v>12</v>
      </c>
      <c r="Q15" s="4">
        <v>0</v>
      </c>
      <c r="R15" s="4">
        <v>2</v>
      </c>
      <c r="S15" s="4">
        <v>0</v>
      </c>
      <c r="T15" s="4">
        <v>0</v>
      </c>
      <c r="U15" s="4">
        <v>0</v>
      </c>
      <c r="V15" s="1">
        <f t="shared" si="0"/>
        <v>25</v>
      </c>
    </row>
    <row r="16" spans="1:22" x14ac:dyDescent="0.25">
      <c r="A16" s="38" t="s">
        <v>15</v>
      </c>
      <c r="B16" s="14" t="s">
        <v>12</v>
      </c>
      <c r="C16" s="22" t="s">
        <v>109</v>
      </c>
      <c r="D16" s="6">
        <v>0</v>
      </c>
      <c r="E16" s="6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3</v>
      </c>
      <c r="Q16" s="4">
        <v>0</v>
      </c>
      <c r="R16" s="4">
        <v>2</v>
      </c>
      <c r="S16" s="4">
        <v>0</v>
      </c>
      <c r="T16" s="4">
        <v>0</v>
      </c>
      <c r="U16" s="4">
        <v>1</v>
      </c>
      <c r="V16" s="1">
        <f t="shared" si="0"/>
        <v>6</v>
      </c>
    </row>
    <row r="17" spans="1:22" x14ac:dyDescent="0.25">
      <c r="A17" s="38" t="s">
        <v>39</v>
      </c>
      <c r="B17" s="13" t="s">
        <v>12</v>
      </c>
      <c r="C17" s="22" t="s">
        <v>110</v>
      </c>
      <c r="D17" s="6">
        <v>2</v>
      </c>
      <c r="E17" s="6">
        <v>2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1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1">
        <f t="shared" si="0"/>
        <v>5</v>
      </c>
    </row>
    <row r="18" spans="1:22" x14ac:dyDescent="0.25">
      <c r="A18" s="38" t="s">
        <v>40</v>
      </c>
      <c r="B18" s="13" t="s">
        <v>12</v>
      </c>
      <c r="C18" s="22" t="s">
        <v>110</v>
      </c>
      <c r="D18" s="6">
        <v>4</v>
      </c>
      <c r="E18" s="6">
        <v>4</v>
      </c>
      <c r="F18" s="6">
        <v>2</v>
      </c>
      <c r="G18" s="6">
        <v>1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1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1">
        <f t="shared" si="0"/>
        <v>12</v>
      </c>
    </row>
    <row r="19" spans="1:22" x14ac:dyDescent="0.25">
      <c r="A19" s="38" t="s">
        <v>41</v>
      </c>
      <c r="B19" s="13" t="s">
        <v>12</v>
      </c>
      <c r="C19" s="22" t="s">
        <v>110</v>
      </c>
      <c r="D19" s="6">
        <v>2</v>
      </c>
      <c r="E19" s="6">
        <v>2</v>
      </c>
      <c r="F19" s="2">
        <v>4</v>
      </c>
      <c r="G19" s="2">
        <v>2</v>
      </c>
      <c r="H19" s="2">
        <v>2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1">
        <f t="shared" si="0"/>
        <v>12</v>
      </c>
    </row>
    <row r="20" spans="1:22" x14ac:dyDescent="0.25">
      <c r="A20" s="38" t="s">
        <v>42</v>
      </c>
      <c r="B20" s="14" t="s">
        <v>12</v>
      </c>
      <c r="C20" s="22" t="s">
        <v>109</v>
      </c>
      <c r="D20" s="6">
        <v>20</v>
      </c>
      <c r="E20" s="6">
        <v>30</v>
      </c>
      <c r="F20" s="6">
        <v>16</v>
      </c>
      <c r="G20" s="6">
        <v>5</v>
      </c>
      <c r="H20" s="6">
        <v>6</v>
      </c>
      <c r="I20" s="6">
        <v>4</v>
      </c>
      <c r="J20" s="6">
        <v>0</v>
      </c>
      <c r="K20" s="6">
        <v>0</v>
      </c>
      <c r="L20" s="6">
        <v>0</v>
      </c>
      <c r="M20" s="6">
        <v>0</v>
      </c>
      <c r="N20" s="6">
        <v>2</v>
      </c>
      <c r="O20" s="6">
        <v>0</v>
      </c>
      <c r="P20" s="6">
        <v>8</v>
      </c>
      <c r="Q20" s="6">
        <v>2</v>
      </c>
      <c r="R20" s="6">
        <v>3</v>
      </c>
      <c r="S20" s="6">
        <v>0</v>
      </c>
      <c r="T20" s="6">
        <v>0</v>
      </c>
      <c r="U20" s="6">
        <v>0</v>
      </c>
      <c r="V20" s="1">
        <f t="shared" si="0"/>
        <v>96</v>
      </c>
    </row>
    <row r="21" spans="1:22" x14ac:dyDescent="0.25">
      <c r="A21" s="38" t="s">
        <v>43</v>
      </c>
      <c r="B21" s="14" t="s">
        <v>12</v>
      </c>
      <c r="C21" s="22" t="s">
        <v>109</v>
      </c>
      <c r="D21" s="6">
        <v>2</v>
      </c>
      <c r="E21" s="6">
        <v>20</v>
      </c>
      <c r="F21" s="4">
        <v>3</v>
      </c>
      <c r="G21" s="4">
        <v>2</v>
      </c>
      <c r="H21" s="4">
        <v>0</v>
      </c>
      <c r="I21" s="4">
        <v>8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7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1">
        <f t="shared" si="0"/>
        <v>42</v>
      </c>
    </row>
    <row r="22" spans="1:22" x14ac:dyDescent="0.25">
      <c r="A22" s="38" t="s">
        <v>44</v>
      </c>
      <c r="B22" s="14" t="s">
        <v>12</v>
      </c>
      <c r="C22" s="22" t="s">
        <v>109</v>
      </c>
      <c r="D22" s="6">
        <v>0</v>
      </c>
      <c r="E22" s="6">
        <v>4</v>
      </c>
      <c r="F22" s="4">
        <v>0</v>
      </c>
      <c r="G22" s="4">
        <v>0</v>
      </c>
      <c r="H22" s="4">
        <v>0</v>
      </c>
      <c r="I22" s="4">
        <v>1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1</v>
      </c>
      <c r="S22" s="4">
        <v>0</v>
      </c>
      <c r="T22" s="4">
        <v>0</v>
      </c>
      <c r="U22" s="4">
        <v>0</v>
      </c>
      <c r="V22" s="1">
        <f t="shared" si="0"/>
        <v>6</v>
      </c>
    </row>
    <row r="23" spans="1:22" x14ac:dyDescent="0.25">
      <c r="A23" s="38" t="s">
        <v>45</v>
      </c>
      <c r="B23" s="14" t="s">
        <v>12</v>
      </c>
      <c r="C23" s="22" t="s">
        <v>109</v>
      </c>
      <c r="D23" s="6">
        <v>15</v>
      </c>
      <c r="E23" s="6">
        <v>15</v>
      </c>
      <c r="F23" s="24">
        <v>15</v>
      </c>
      <c r="G23" s="24">
        <v>5</v>
      </c>
      <c r="H23" s="24">
        <v>10</v>
      </c>
      <c r="I23" s="24">
        <v>5</v>
      </c>
      <c r="J23" s="24">
        <v>0</v>
      </c>
      <c r="K23" s="24">
        <v>0</v>
      </c>
      <c r="L23" s="24">
        <v>0</v>
      </c>
      <c r="M23" s="24">
        <v>0</v>
      </c>
      <c r="N23" s="24">
        <v>0</v>
      </c>
      <c r="O23" s="24">
        <v>0</v>
      </c>
      <c r="P23" s="24">
        <v>5</v>
      </c>
      <c r="Q23" s="24">
        <v>0</v>
      </c>
      <c r="R23" s="24">
        <v>5</v>
      </c>
      <c r="S23" s="24">
        <v>0</v>
      </c>
      <c r="T23" s="24">
        <v>0</v>
      </c>
      <c r="U23" s="24">
        <v>0</v>
      </c>
      <c r="V23" s="1">
        <f t="shared" si="0"/>
        <v>75</v>
      </c>
    </row>
    <row r="24" spans="1:22" x14ac:dyDescent="0.25">
      <c r="A24" s="38" t="s">
        <v>46</v>
      </c>
      <c r="B24" s="13" t="s">
        <v>12</v>
      </c>
      <c r="C24" s="22" t="s">
        <v>109</v>
      </c>
      <c r="D24" s="6">
        <v>12</v>
      </c>
      <c r="E24" s="6">
        <v>10</v>
      </c>
      <c r="F24" s="4">
        <v>6</v>
      </c>
      <c r="G24" s="4">
        <v>3</v>
      </c>
      <c r="H24" s="4">
        <v>8</v>
      </c>
      <c r="I24" s="4">
        <v>5</v>
      </c>
      <c r="J24" s="4">
        <v>5</v>
      </c>
      <c r="K24" s="4">
        <v>0</v>
      </c>
      <c r="L24" s="4">
        <v>0</v>
      </c>
      <c r="M24" s="4">
        <v>0</v>
      </c>
      <c r="N24" s="4">
        <v>0</v>
      </c>
      <c r="O24" s="4">
        <v>2</v>
      </c>
      <c r="P24" s="4">
        <v>4</v>
      </c>
      <c r="Q24" s="4">
        <v>0</v>
      </c>
      <c r="R24" s="4">
        <v>5</v>
      </c>
      <c r="S24" s="4">
        <v>3</v>
      </c>
      <c r="T24" s="4">
        <v>0</v>
      </c>
      <c r="U24" s="4">
        <v>0</v>
      </c>
      <c r="V24" s="1">
        <f t="shared" si="0"/>
        <v>63</v>
      </c>
    </row>
    <row r="25" spans="1:22" x14ac:dyDescent="0.25">
      <c r="A25" s="38" t="s">
        <v>47</v>
      </c>
      <c r="B25" s="13" t="s">
        <v>12</v>
      </c>
      <c r="C25" s="22" t="s">
        <v>109</v>
      </c>
      <c r="D25" s="6">
        <v>0</v>
      </c>
      <c r="E25" s="6">
        <v>3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1</v>
      </c>
      <c r="M25" s="6">
        <v>0</v>
      </c>
      <c r="N25" s="6">
        <v>0</v>
      </c>
      <c r="O25" s="6">
        <v>1</v>
      </c>
      <c r="P25" s="6">
        <v>3</v>
      </c>
      <c r="Q25" s="6">
        <v>0</v>
      </c>
      <c r="R25" s="6">
        <v>1</v>
      </c>
      <c r="S25" s="6">
        <v>0</v>
      </c>
      <c r="T25" s="6">
        <v>0</v>
      </c>
      <c r="U25" s="6">
        <v>0</v>
      </c>
      <c r="V25" s="1">
        <f t="shared" si="0"/>
        <v>9</v>
      </c>
    </row>
    <row r="26" spans="1:22" x14ac:dyDescent="0.25">
      <c r="A26" s="38" t="s">
        <v>48</v>
      </c>
      <c r="B26" s="13" t="s">
        <v>12</v>
      </c>
      <c r="C26" s="22" t="s">
        <v>110</v>
      </c>
      <c r="D26" s="6">
        <v>2</v>
      </c>
      <c r="E26" s="6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1</v>
      </c>
      <c r="N26" s="4">
        <v>0</v>
      </c>
      <c r="O26" s="4">
        <v>1</v>
      </c>
      <c r="P26" s="4">
        <v>12</v>
      </c>
      <c r="Q26" s="4">
        <v>0</v>
      </c>
      <c r="R26" s="4">
        <v>1</v>
      </c>
      <c r="S26" s="4">
        <v>0</v>
      </c>
      <c r="T26" s="4">
        <v>0</v>
      </c>
      <c r="U26" s="4">
        <v>0</v>
      </c>
      <c r="V26" s="1">
        <f t="shared" si="0"/>
        <v>17</v>
      </c>
    </row>
    <row r="27" spans="1:22" x14ac:dyDescent="0.25">
      <c r="A27" s="38" t="s">
        <v>49</v>
      </c>
      <c r="B27" s="13" t="s">
        <v>12</v>
      </c>
      <c r="C27" s="22" t="s">
        <v>110</v>
      </c>
      <c r="D27" s="25">
        <v>0</v>
      </c>
      <c r="E27" s="20">
        <v>3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2</v>
      </c>
      <c r="N27" s="4">
        <v>0</v>
      </c>
      <c r="O27" s="4">
        <v>2</v>
      </c>
      <c r="P27" s="4">
        <v>6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1">
        <f t="shared" si="0"/>
        <v>13</v>
      </c>
    </row>
    <row r="28" spans="1:22" x14ac:dyDescent="0.25">
      <c r="A28" s="38" t="s">
        <v>50</v>
      </c>
      <c r="B28" s="14" t="s">
        <v>12</v>
      </c>
      <c r="C28" s="22" t="s">
        <v>109</v>
      </c>
      <c r="D28" s="13">
        <v>1</v>
      </c>
      <c r="E28" s="6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1</v>
      </c>
      <c r="Q28" s="4">
        <v>0</v>
      </c>
      <c r="R28" s="4">
        <v>2</v>
      </c>
      <c r="S28" s="4">
        <v>0</v>
      </c>
      <c r="T28" s="4">
        <v>0</v>
      </c>
      <c r="U28" s="4">
        <v>0</v>
      </c>
      <c r="V28" s="1">
        <f t="shared" si="0"/>
        <v>4</v>
      </c>
    </row>
    <row r="29" spans="1:22" x14ac:dyDescent="0.25">
      <c r="A29" s="38" t="s">
        <v>51</v>
      </c>
      <c r="B29" s="13" t="s">
        <v>12</v>
      </c>
      <c r="C29" s="22" t="s">
        <v>111</v>
      </c>
      <c r="D29" s="13">
        <v>15</v>
      </c>
      <c r="E29" s="6">
        <v>14</v>
      </c>
      <c r="F29" s="4">
        <v>7</v>
      </c>
      <c r="G29" s="4">
        <v>4</v>
      </c>
      <c r="H29" s="4">
        <v>12</v>
      </c>
      <c r="I29" s="4">
        <v>3</v>
      </c>
      <c r="J29" s="4">
        <v>0</v>
      </c>
      <c r="K29" s="4">
        <v>2</v>
      </c>
      <c r="L29" s="4">
        <v>0</v>
      </c>
      <c r="M29" s="4">
        <v>0</v>
      </c>
      <c r="N29" s="4">
        <v>0</v>
      </c>
      <c r="O29" s="4">
        <v>4</v>
      </c>
      <c r="P29" s="4">
        <v>0</v>
      </c>
      <c r="Q29" s="4">
        <v>4</v>
      </c>
      <c r="R29" s="4">
        <v>0</v>
      </c>
      <c r="S29" s="4">
        <v>4</v>
      </c>
      <c r="T29" s="4">
        <v>0</v>
      </c>
      <c r="U29" s="4">
        <v>0</v>
      </c>
      <c r="V29" s="1">
        <f t="shared" si="0"/>
        <v>69</v>
      </c>
    </row>
    <row r="30" spans="1:22" x14ac:dyDescent="0.25">
      <c r="A30" s="38" t="s">
        <v>28</v>
      </c>
      <c r="B30" s="15" t="s">
        <v>12</v>
      </c>
      <c r="C30" s="22" t="s">
        <v>109</v>
      </c>
      <c r="D30" s="13">
        <v>0</v>
      </c>
      <c r="E30" s="6">
        <v>0</v>
      </c>
      <c r="F30" s="4">
        <v>0</v>
      </c>
      <c r="G30" s="4">
        <v>0</v>
      </c>
      <c r="H30" s="4">
        <v>0</v>
      </c>
      <c r="I30" s="4">
        <v>2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2</v>
      </c>
      <c r="R30" s="4">
        <v>0</v>
      </c>
      <c r="S30" s="4">
        <v>0</v>
      </c>
      <c r="T30" s="4">
        <v>0</v>
      </c>
      <c r="U30" s="4">
        <v>0</v>
      </c>
      <c r="V30" s="1">
        <f t="shared" si="0"/>
        <v>4</v>
      </c>
    </row>
    <row r="31" spans="1:22" x14ac:dyDescent="0.25">
      <c r="A31" s="38" t="s">
        <v>52</v>
      </c>
      <c r="B31" s="14" t="s">
        <v>12</v>
      </c>
      <c r="C31" s="22" t="s">
        <v>109</v>
      </c>
      <c r="D31" s="25">
        <v>8</v>
      </c>
      <c r="E31" s="20">
        <v>6</v>
      </c>
      <c r="F31" s="4">
        <v>2</v>
      </c>
      <c r="G31" s="4">
        <v>4</v>
      </c>
      <c r="H31" s="4">
        <v>4</v>
      </c>
      <c r="I31" s="4">
        <v>2</v>
      </c>
      <c r="J31" s="4">
        <v>0</v>
      </c>
      <c r="K31" s="4">
        <v>2</v>
      </c>
      <c r="L31" s="4">
        <v>1</v>
      </c>
      <c r="M31" s="4">
        <v>0</v>
      </c>
      <c r="N31" s="4">
        <v>0</v>
      </c>
      <c r="O31" s="4">
        <v>2</v>
      </c>
      <c r="P31" s="4">
        <v>4</v>
      </c>
      <c r="Q31" s="4">
        <v>0</v>
      </c>
      <c r="R31" s="4">
        <v>2</v>
      </c>
      <c r="S31" s="4">
        <v>1</v>
      </c>
      <c r="T31" s="4">
        <v>0</v>
      </c>
      <c r="U31" s="4">
        <v>2</v>
      </c>
      <c r="V31" s="1">
        <f t="shared" si="0"/>
        <v>40</v>
      </c>
    </row>
    <row r="32" spans="1:22" x14ac:dyDescent="0.25">
      <c r="A32" s="38" t="s">
        <v>53</v>
      </c>
      <c r="B32" s="14" t="s">
        <v>12</v>
      </c>
      <c r="C32" s="22" t="s">
        <v>109</v>
      </c>
      <c r="D32" s="13">
        <v>2</v>
      </c>
      <c r="E32" s="6">
        <v>6</v>
      </c>
      <c r="F32" s="6">
        <v>1</v>
      </c>
      <c r="G32" s="6">
        <v>1</v>
      </c>
      <c r="H32" s="6">
        <v>2</v>
      </c>
      <c r="I32" s="6">
        <v>1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1</v>
      </c>
      <c r="P32" s="6">
        <v>1</v>
      </c>
      <c r="Q32" s="6">
        <v>0</v>
      </c>
      <c r="R32" s="6">
        <v>2</v>
      </c>
      <c r="S32" s="6">
        <v>0</v>
      </c>
      <c r="T32" s="6">
        <v>0</v>
      </c>
      <c r="U32" s="6">
        <v>0</v>
      </c>
      <c r="V32" s="1">
        <f t="shared" si="0"/>
        <v>17</v>
      </c>
    </row>
    <row r="33" spans="1:22" x14ac:dyDescent="0.25">
      <c r="A33" s="38" t="s">
        <v>54</v>
      </c>
      <c r="B33" s="14" t="s">
        <v>12</v>
      </c>
      <c r="C33" s="22" t="s">
        <v>109</v>
      </c>
      <c r="D33" s="13">
        <v>8</v>
      </c>
      <c r="E33" s="6">
        <v>4</v>
      </c>
      <c r="F33" s="4">
        <v>2</v>
      </c>
      <c r="G33" s="4">
        <v>2</v>
      </c>
      <c r="H33" s="4">
        <v>2</v>
      </c>
      <c r="I33" s="4">
        <v>2</v>
      </c>
      <c r="J33" s="4">
        <v>0</v>
      </c>
      <c r="K33" s="4">
        <v>2</v>
      </c>
      <c r="L33" s="4">
        <v>0</v>
      </c>
      <c r="M33" s="4">
        <v>0</v>
      </c>
      <c r="N33" s="4">
        <v>0</v>
      </c>
      <c r="O33" s="4">
        <v>0</v>
      </c>
      <c r="P33" s="4">
        <v>2</v>
      </c>
      <c r="Q33" s="4">
        <v>0</v>
      </c>
      <c r="R33" s="4">
        <v>2</v>
      </c>
      <c r="S33" s="4">
        <v>0</v>
      </c>
      <c r="T33" s="4">
        <v>0</v>
      </c>
      <c r="U33" s="4">
        <v>0</v>
      </c>
      <c r="V33" s="1">
        <f t="shared" si="0"/>
        <v>26</v>
      </c>
    </row>
    <row r="34" spans="1:22" x14ac:dyDescent="0.25">
      <c r="A34" s="38" t="s">
        <v>55</v>
      </c>
      <c r="B34" s="14" t="s">
        <v>12</v>
      </c>
      <c r="C34" s="22" t="s">
        <v>109</v>
      </c>
      <c r="D34" s="13">
        <v>4</v>
      </c>
      <c r="E34" s="6">
        <v>4</v>
      </c>
      <c r="F34" s="4">
        <v>2</v>
      </c>
      <c r="G34" s="4">
        <v>2</v>
      </c>
      <c r="H34" s="4">
        <v>2</v>
      </c>
      <c r="I34" s="4">
        <v>2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2</v>
      </c>
      <c r="Q34" s="4">
        <v>0</v>
      </c>
      <c r="R34" s="4">
        <v>2</v>
      </c>
      <c r="S34" s="4">
        <v>2</v>
      </c>
      <c r="T34" s="4">
        <v>0</v>
      </c>
      <c r="U34" s="4">
        <v>0</v>
      </c>
      <c r="V34" s="1">
        <f t="shared" si="0"/>
        <v>22</v>
      </c>
    </row>
    <row r="35" spans="1:22" x14ac:dyDescent="0.25">
      <c r="A35" s="38" t="s">
        <v>56</v>
      </c>
      <c r="B35" s="14" t="s">
        <v>12</v>
      </c>
      <c r="C35" s="22" t="s">
        <v>109</v>
      </c>
      <c r="D35" s="13">
        <v>20</v>
      </c>
      <c r="E35" s="6">
        <v>20</v>
      </c>
      <c r="F35" s="4">
        <v>10</v>
      </c>
      <c r="G35" s="4">
        <v>2</v>
      </c>
      <c r="H35" s="4">
        <v>10</v>
      </c>
      <c r="I35" s="4">
        <v>10</v>
      </c>
      <c r="J35" s="4">
        <v>15</v>
      </c>
      <c r="K35" s="4">
        <v>0</v>
      </c>
      <c r="L35" s="4">
        <v>4</v>
      </c>
      <c r="M35" s="4">
        <v>0</v>
      </c>
      <c r="N35" s="4">
        <v>2</v>
      </c>
      <c r="O35" s="4">
        <v>4</v>
      </c>
      <c r="P35" s="4">
        <v>5</v>
      </c>
      <c r="Q35" s="4">
        <v>0</v>
      </c>
      <c r="R35" s="4">
        <v>5</v>
      </c>
      <c r="S35" s="4">
        <v>4</v>
      </c>
      <c r="T35" s="4">
        <v>2</v>
      </c>
      <c r="U35" s="4">
        <v>0</v>
      </c>
      <c r="V35" s="6">
        <f t="shared" si="0"/>
        <v>113</v>
      </c>
    </row>
    <row r="36" spans="1:22" x14ac:dyDescent="0.25">
      <c r="A36" s="38" t="s">
        <v>16</v>
      </c>
      <c r="B36" s="13" t="s">
        <v>12</v>
      </c>
      <c r="C36" s="22" t="s">
        <v>110</v>
      </c>
      <c r="D36" s="13">
        <v>1</v>
      </c>
      <c r="E36" s="6">
        <v>2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1</v>
      </c>
      <c r="M36" s="4">
        <v>0</v>
      </c>
      <c r="N36" s="4">
        <v>0</v>
      </c>
      <c r="O36" s="4">
        <v>1</v>
      </c>
      <c r="P36" s="4">
        <v>9</v>
      </c>
      <c r="Q36" s="4">
        <v>0</v>
      </c>
      <c r="R36" s="4">
        <v>1</v>
      </c>
      <c r="S36" s="4">
        <v>0</v>
      </c>
      <c r="T36" s="4">
        <v>0</v>
      </c>
      <c r="U36" s="4">
        <v>0</v>
      </c>
      <c r="V36" s="1">
        <f t="shared" si="0"/>
        <v>15</v>
      </c>
    </row>
    <row r="37" spans="1:22" x14ac:dyDescent="0.25">
      <c r="A37" s="38" t="s">
        <v>57</v>
      </c>
      <c r="B37" s="14" t="s">
        <v>12</v>
      </c>
      <c r="C37" s="22" t="s">
        <v>109</v>
      </c>
      <c r="D37" s="13">
        <v>0</v>
      </c>
      <c r="E37" s="6">
        <v>2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1</v>
      </c>
      <c r="M37" s="4">
        <v>1</v>
      </c>
      <c r="N37" s="4">
        <v>0</v>
      </c>
      <c r="O37" s="4">
        <v>0</v>
      </c>
      <c r="P37" s="4">
        <v>3</v>
      </c>
      <c r="Q37" s="4">
        <v>0</v>
      </c>
      <c r="R37" s="4">
        <v>1</v>
      </c>
      <c r="S37" s="4">
        <v>0</v>
      </c>
      <c r="T37" s="4">
        <v>0</v>
      </c>
      <c r="U37" s="4">
        <v>1</v>
      </c>
      <c r="V37" s="1">
        <f t="shared" si="0"/>
        <v>9</v>
      </c>
    </row>
    <row r="38" spans="1:22" x14ac:dyDescent="0.25">
      <c r="A38" s="38" t="s">
        <v>58</v>
      </c>
      <c r="B38" s="14" t="s">
        <v>12</v>
      </c>
      <c r="C38" s="22" t="s">
        <v>109</v>
      </c>
      <c r="D38" s="13">
        <v>2</v>
      </c>
      <c r="E38" s="6">
        <v>1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1</v>
      </c>
      <c r="M38" s="4">
        <v>1</v>
      </c>
      <c r="N38" s="4">
        <v>0</v>
      </c>
      <c r="O38" s="4">
        <v>0</v>
      </c>
      <c r="P38" s="4">
        <v>3</v>
      </c>
      <c r="Q38" s="4">
        <v>0</v>
      </c>
      <c r="R38" s="4">
        <v>1</v>
      </c>
      <c r="S38" s="4">
        <v>0</v>
      </c>
      <c r="T38" s="4">
        <v>0</v>
      </c>
      <c r="U38" s="4">
        <v>1</v>
      </c>
      <c r="V38" s="1">
        <f t="shared" si="0"/>
        <v>10</v>
      </c>
    </row>
    <row r="39" spans="1:22" x14ac:dyDescent="0.25">
      <c r="A39" s="38" t="s">
        <v>13</v>
      </c>
      <c r="B39" s="13" t="s">
        <v>12</v>
      </c>
      <c r="C39" s="22" t="s">
        <v>111</v>
      </c>
      <c r="D39" s="13">
        <v>9</v>
      </c>
      <c r="E39" s="6">
        <v>9</v>
      </c>
      <c r="F39" s="4">
        <v>9</v>
      </c>
      <c r="G39" s="4">
        <v>0</v>
      </c>
      <c r="H39" s="4">
        <v>3</v>
      </c>
      <c r="I39" s="4">
        <v>6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6</v>
      </c>
      <c r="Q39" s="4">
        <v>2</v>
      </c>
      <c r="R39" s="4">
        <v>0</v>
      </c>
      <c r="S39" s="4">
        <v>0</v>
      </c>
      <c r="T39" s="4">
        <v>0</v>
      </c>
      <c r="U39" s="4">
        <v>0</v>
      </c>
      <c r="V39" s="1">
        <f t="shared" si="0"/>
        <v>44</v>
      </c>
    </row>
    <row r="40" spans="1:22" x14ac:dyDescent="0.25">
      <c r="A40" s="38" t="s">
        <v>59</v>
      </c>
      <c r="B40" s="14" t="s">
        <v>12</v>
      </c>
      <c r="C40" s="22" t="s">
        <v>109</v>
      </c>
      <c r="D40" s="13">
        <v>20</v>
      </c>
      <c r="E40" s="6">
        <v>10</v>
      </c>
      <c r="F40" s="4">
        <v>2</v>
      </c>
      <c r="G40" s="4">
        <v>2</v>
      </c>
      <c r="H40" s="4">
        <v>1</v>
      </c>
      <c r="I40" s="4">
        <v>2</v>
      </c>
      <c r="J40" s="4">
        <v>0</v>
      </c>
      <c r="K40" s="4">
        <v>2</v>
      </c>
      <c r="L40" s="4">
        <v>0</v>
      </c>
      <c r="M40" s="4">
        <v>0</v>
      </c>
      <c r="N40" s="4">
        <v>1</v>
      </c>
      <c r="O40" s="4">
        <v>1</v>
      </c>
      <c r="P40" s="4">
        <v>2</v>
      </c>
      <c r="Q40" s="4">
        <v>1</v>
      </c>
      <c r="R40" s="4">
        <v>2</v>
      </c>
      <c r="S40" s="4">
        <v>0</v>
      </c>
      <c r="T40" s="4">
        <v>1</v>
      </c>
      <c r="U40" s="4">
        <v>0</v>
      </c>
      <c r="V40" s="1">
        <f t="shared" si="0"/>
        <v>47</v>
      </c>
    </row>
    <row r="41" spans="1:22" x14ac:dyDescent="0.25">
      <c r="A41" s="38" t="s">
        <v>60</v>
      </c>
      <c r="B41" s="14" t="s">
        <v>12</v>
      </c>
      <c r="C41" s="22" t="s">
        <v>109</v>
      </c>
      <c r="D41" s="13">
        <v>12</v>
      </c>
      <c r="E41" s="6">
        <v>16</v>
      </c>
      <c r="F41" s="21">
        <v>8</v>
      </c>
      <c r="G41" s="21">
        <v>12</v>
      </c>
      <c r="H41" s="21">
        <v>8</v>
      </c>
      <c r="I41" s="21">
        <v>4</v>
      </c>
      <c r="J41" s="21">
        <v>0</v>
      </c>
      <c r="K41" s="21">
        <v>3</v>
      </c>
      <c r="L41" s="21">
        <v>0</v>
      </c>
      <c r="M41" s="21">
        <v>0</v>
      </c>
      <c r="N41" s="21">
        <v>0</v>
      </c>
      <c r="O41" s="21">
        <v>3</v>
      </c>
      <c r="P41" s="21">
        <v>8</v>
      </c>
      <c r="Q41" s="21">
        <v>0</v>
      </c>
      <c r="R41" s="21">
        <v>4</v>
      </c>
      <c r="S41" s="21">
        <v>0</v>
      </c>
      <c r="T41" s="21">
        <v>0</v>
      </c>
      <c r="U41" s="21">
        <v>0</v>
      </c>
      <c r="V41" s="1">
        <f t="shared" si="0"/>
        <v>78</v>
      </c>
    </row>
    <row r="42" spans="1:22" x14ac:dyDescent="0.25">
      <c r="A42" s="38" t="s">
        <v>61</v>
      </c>
      <c r="B42" s="14" t="s">
        <v>12</v>
      </c>
      <c r="C42" s="22" t="s">
        <v>109</v>
      </c>
      <c r="D42" s="13">
        <v>8</v>
      </c>
      <c r="E42" s="6">
        <v>4</v>
      </c>
      <c r="F42" s="4">
        <v>4</v>
      </c>
      <c r="G42" s="4">
        <v>0</v>
      </c>
      <c r="H42" s="4">
        <v>4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2</v>
      </c>
      <c r="P42" s="4">
        <v>0</v>
      </c>
      <c r="Q42" s="4">
        <v>0</v>
      </c>
      <c r="R42" s="4">
        <v>4</v>
      </c>
      <c r="S42" s="4">
        <v>0</v>
      </c>
      <c r="T42" s="4">
        <v>0</v>
      </c>
      <c r="U42" s="4">
        <v>0</v>
      </c>
      <c r="V42" s="1">
        <f t="shared" si="0"/>
        <v>26</v>
      </c>
    </row>
    <row r="43" spans="1:22" x14ac:dyDescent="0.25">
      <c r="A43" s="38" t="s">
        <v>62</v>
      </c>
      <c r="B43" s="14" t="s">
        <v>12</v>
      </c>
      <c r="C43" s="22" t="s">
        <v>109</v>
      </c>
      <c r="D43" s="13">
        <v>4</v>
      </c>
      <c r="E43" s="6">
        <v>4</v>
      </c>
      <c r="F43" s="4">
        <v>4</v>
      </c>
      <c r="G43" s="4">
        <v>3</v>
      </c>
      <c r="H43" s="4">
        <v>2</v>
      </c>
      <c r="I43" s="4">
        <v>1</v>
      </c>
      <c r="J43" s="4">
        <v>1</v>
      </c>
      <c r="K43" s="4">
        <v>0</v>
      </c>
      <c r="L43" s="4">
        <v>0</v>
      </c>
      <c r="M43" s="4">
        <v>0</v>
      </c>
      <c r="N43" s="4">
        <v>0</v>
      </c>
      <c r="O43" s="4">
        <v>3</v>
      </c>
      <c r="P43" s="4">
        <v>2</v>
      </c>
      <c r="Q43" s="4">
        <v>0</v>
      </c>
      <c r="R43" s="4">
        <v>1</v>
      </c>
      <c r="S43" s="4">
        <v>0</v>
      </c>
      <c r="T43" s="4">
        <v>0</v>
      </c>
      <c r="U43" s="4">
        <v>0</v>
      </c>
      <c r="V43" s="1">
        <f t="shared" si="0"/>
        <v>25</v>
      </c>
    </row>
    <row r="44" spans="1:22" x14ac:dyDescent="0.25">
      <c r="A44" s="38" t="s">
        <v>63</v>
      </c>
      <c r="B44" s="13" t="s">
        <v>12</v>
      </c>
      <c r="C44" s="22" t="s">
        <v>109</v>
      </c>
      <c r="D44" s="13">
        <v>4</v>
      </c>
      <c r="E44" s="6">
        <v>5</v>
      </c>
      <c r="F44" s="4">
        <v>0</v>
      </c>
      <c r="G44" s="4">
        <v>0</v>
      </c>
      <c r="H44" s="4">
        <v>1</v>
      </c>
      <c r="I44" s="4">
        <v>3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1">
        <f t="shared" si="0"/>
        <v>13</v>
      </c>
    </row>
    <row r="45" spans="1:22" x14ac:dyDescent="0.25">
      <c r="A45" s="38" t="s">
        <v>64</v>
      </c>
      <c r="B45" s="13" t="s">
        <v>12</v>
      </c>
      <c r="C45" s="22" t="s">
        <v>109</v>
      </c>
      <c r="D45" s="13">
        <v>0</v>
      </c>
      <c r="E45" s="6">
        <v>3</v>
      </c>
      <c r="F45" s="24">
        <v>0</v>
      </c>
      <c r="G45" s="4">
        <v>0</v>
      </c>
      <c r="H45" s="4">
        <v>0</v>
      </c>
      <c r="I45" s="4">
        <v>0</v>
      </c>
      <c r="J45" s="24">
        <v>0</v>
      </c>
      <c r="K45" s="24">
        <v>0</v>
      </c>
      <c r="L45" s="4">
        <v>0</v>
      </c>
      <c r="M45" s="4">
        <v>0</v>
      </c>
      <c r="N45" s="4">
        <v>0</v>
      </c>
      <c r="O45" s="4">
        <v>1</v>
      </c>
      <c r="P45" s="4">
        <v>4</v>
      </c>
      <c r="Q45" s="4">
        <v>0</v>
      </c>
      <c r="R45" s="4">
        <v>0</v>
      </c>
      <c r="S45" s="6">
        <v>0</v>
      </c>
      <c r="T45" s="6">
        <v>0</v>
      </c>
      <c r="U45" s="6">
        <v>0</v>
      </c>
      <c r="V45" s="1">
        <f t="shared" si="0"/>
        <v>8</v>
      </c>
    </row>
    <row r="46" spans="1:22" x14ac:dyDescent="0.25">
      <c r="A46" s="38" t="s">
        <v>14</v>
      </c>
      <c r="B46" s="13" t="s">
        <v>12</v>
      </c>
      <c r="C46" s="22" t="s">
        <v>110</v>
      </c>
      <c r="D46" s="13">
        <v>0</v>
      </c>
      <c r="E46" s="6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4</v>
      </c>
      <c r="N46" s="4">
        <v>0</v>
      </c>
      <c r="O46" s="4">
        <v>0</v>
      </c>
      <c r="P46" s="4">
        <v>8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1">
        <f t="shared" si="0"/>
        <v>12</v>
      </c>
    </row>
    <row r="47" spans="1:22" x14ac:dyDescent="0.25">
      <c r="A47" s="38" t="s">
        <v>11</v>
      </c>
      <c r="B47" s="13" t="s">
        <v>12</v>
      </c>
      <c r="C47" s="22" t="s">
        <v>111</v>
      </c>
      <c r="D47" s="13">
        <v>10</v>
      </c>
      <c r="E47" s="6">
        <v>6</v>
      </c>
      <c r="F47" s="2">
        <v>5</v>
      </c>
      <c r="G47" s="2">
        <v>4</v>
      </c>
      <c r="H47" s="2">
        <v>5</v>
      </c>
      <c r="I47" s="2">
        <v>3</v>
      </c>
      <c r="J47" s="2">
        <v>0</v>
      </c>
      <c r="K47" s="2">
        <v>3</v>
      </c>
      <c r="L47" s="2">
        <v>0</v>
      </c>
      <c r="M47" s="2">
        <v>0</v>
      </c>
      <c r="N47" s="2">
        <v>0</v>
      </c>
      <c r="O47" s="2">
        <v>2</v>
      </c>
      <c r="P47" s="2">
        <v>2</v>
      </c>
      <c r="Q47" s="2">
        <v>0</v>
      </c>
      <c r="R47" s="2">
        <v>4</v>
      </c>
      <c r="S47" s="2">
        <v>0</v>
      </c>
      <c r="T47" s="2">
        <v>0</v>
      </c>
      <c r="U47" s="2">
        <v>0</v>
      </c>
      <c r="V47" s="1">
        <f t="shared" si="0"/>
        <v>44</v>
      </c>
    </row>
    <row r="48" spans="1:22" x14ac:dyDescent="0.25">
      <c r="A48" s="38" t="s">
        <v>65</v>
      </c>
      <c r="B48" s="13" t="s">
        <v>12</v>
      </c>
      <c r="C48" s="22" t="s">
        <v>110</v>
      </c>
      <c r="D48" s="13">
        <v>1</v>
      </c>
      <c r="E48" s="6">
        <v>1</v>
      </c>
      <c r="F48" s="4">
        <v>1</v>
      </c>
      <c r="G48" s="4">
        <v>1</v>
      </c>
      <c r="H48" s="4">
        <v>1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1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1">
        <f t="shared" si="0"/>
        <v>6</v>
      </c>
    </row>
    <row r="49" spans="1:22" x14ac:dyDescent="0.25">
      <c r="A49" s="38" t="s">
        <v>108</v>
      </c>
      <c r="B49" s="13" t="s">
        <v>12</v>
      </c>
      <c r="C49" s="22" t="s">
        <v>110</v>
      </c>
      <c r="D49" s="13">
        <v>2</v>
      </c>
      <c r="E49" s="6">
        <v>2</v>
      </c>
      <c r="F49" s="4">
        <v>2</v>
      </c>
      <c r="G49" s="4">
        <v>2</v>
      </c>
      <c r="H49" s="4">
        <v>2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2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1">
        <f t="shared" si="0"/>
        <v>12</v>
      </c>
    </row>
    <row r="50" spans="1:22" x14ac:dyDescent="0.25">
      <c r="A50" s="38" t="s">
        <v>66</v>
      </c>
      <c r="B50" s="13" t="s">
        <v>12</v>
      </c>
      <c r="C50" s="22" t="s">
        <v>110</v>
      </c>
      <c r="D50" s="13">
        <v>1</v>
      </c>
      <c r="E50" s="6">
        <v>0</v>
      </c>
      <c r="F50" s="4">
        <v>0</v>
      </c>
      <c r="G50" s="4">
        <v>0</v>
      </c>
      <c r="H50" s="4">
        <v>1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1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1">
        <f t="shared" si="0"/>
        <v>3</v>
      </c>
    </row>
    <row r="51" spans="1:22" x14ac:dyDescent="0.25">
      <c r="A51" s="38" t="s">
        <v>67</v>
      </c>
      <c r="B51" s="13" t="s">
        <v>12</v>
      </c>
      <c r="C51" s="22" t="s">
        <v>109</v>
      </c>
      <c r="D51" s="7">
        <v>20</v>
      </c>
      <c r="E51" s="1">
        <v>15</v>
      </c>
      <c r="F51" s="5">
        <v>7</v>
      </c>
      <c r="G51" s="5">
        <v>4</v>
      </c>
      <c r="H51" s="5">
        <v>5</v>
      </c>
      <c r="I51" s="5">
        <v>5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5</v>
      </c>
      <c r="P51" s="5">
        <v>7</v>
      </c>
      <c r="Q51" s="5">
        <v>0</v>
      </c>
      <c r="R51" s="5">
        <v>2</v>
      </c>
      <c r="S51" s="1">
        <v>0</v>
      </c>
      <c r="T51" s="4">
        <v>0</v>
      </c>
      <c r="U51" s="4">
        <v>0</v>
      </c>
      <c r="V51" s="1">
        <f t="shared" si="0"/>
        <v>70</v>
      </c>
    </row>
    <row r="52" spans="1:22" x14ac:dyDescent="0.25">
      <c r="A52" s="38" t="s">
        <v>68</v>
      </c>
      <c r="B52" s="13" t="s">
        <v>12</v>
      </c>
      <c r="C52" s="22" t="s">
        <v>109</v>
      </c>
      <c r="D52" s="13">
        <v>15</v>
      </c>
      <c r="E52" s="6">
        <v>10</v>
      </c>
      <c r="F52" s="4">
        <v>10</v>
      </c>
      <c r="G52" s="4">
        <v>6</v>
      </c>
      <c r="H52" s="4">
        <v>10</v>
      </c>
      <c r="I52" s="4">
        <v>0</v>
      </c>
      <c r="J52" s="4">
        <v>10</v>
      </c>
      <c r="K52" s="4">
        <v>0</v>
      </c>
      <c r="L52" s="4">
        <v>5</v>
      </c>
      <c r="M52" s="4">
        <v>5</v>
      </c>
      <c r="N52" s="4">
        <v>0</v>
      </c>
      <c r="O52" s="4">
        <v>5</v>
      </c>
      <c r="P52" s="4">
        <v>5</v>
      </c>
      <c r="Q52" s="4">
        <v>5</v>
      </c>
      <c r="R52" s="4">
        <v>0</v>
      </c>
      <c r="S52" s="4">
        <v>0</v>
      </c>
      <c r="T52" s="4">
        <v>0</v>
      </c>
      <c r="U52" s="4">
        <v>0</v>
      </c>
      <c r="V52" s="1">
        <f t="shared" si="0"/>
        <v>86</v>
      </c>
    </row>
    <row r="53" spans="1:22" x14ac:dyDescent="0.25">
      <c r="A53" s="38" t="s">
        <v>69</v>
      </c>
      <c r="B53" s="13" t="s">
        <v>12</v>
      </c>
      <c r="C53" s="22" t="s">
        <v>109</v>
      </c>
      <c r="D53" s="13">
        <v>6</v>
      </c>
      <c r="E53" s="6">
        <v>4</v>
      </c>
      <c r="F53" s="26">
        <v>2</v>
      </c>
      <c r="G53" s="26">
        <v>2</v>
      </c>
      <c r="H53" s="26">
        <v>2</v>
      </c>
      <c r="I53" s="26">
        <v>4</v>
      </c>
      <c r="J53" s="26">
        <v>0</v>
      </c>
      <c r="K53" s="26">
        <v>4</v>
      </c>
      <c r="L53" s="26">
        <v>0</v>
      </c>
      <c r="M53" s="26">
        <v>0</v>
      </c>
      <c r="N53" s="26">
        <v>2</v>
      </c>
      <c r="O53" s="26">
        <v>2</v>
      </c>
      <c r="P53" s="26">
        <v>2</v>
      </c>
      <c r="Q53" s="26">
        <v>2</v>
      </c>
      <c r="R53" s="26">
        <v>2</v>
      </c>
      <c r="S53" s="26">
        <v>0</v>
      </c>
      <c r="T53" s="26">
        <v>0</v>
      </c>
      <c r="U53" s="26">
        <v>0</v>
      </c>
      <c r="V53" s="1">
        <f t="shared" si="0"/>
        <v>34</v>
      </c>
    </row>
    <row r="54" spans="1:22" x14ac:dyDescent="0.25">
      <c r="A54" s="38" t="s">
        <v>70</v>
      </c>
      <c r="B54" s="13" t="s">
        <v>12</v>
      </c>
      <c r="C54" s="22" t="s">
        <v>109</v>
      </c>
      <c r="D54" s="13">
        <v>4</v>
      </c>
      <c r="E54" s="6">
        <v>4</v>
      </c>
      <c r="F54" s="26">
        <v>4</v>
      </c>
      <c r="G54" s="26">
        <v>2</v>
      </c>
      <c r="H54" s="26">
        <v>2</v>
      </c>
      <c r="I54" s="26">
        <v>4</v>
      </c>
      <c r="J54" s="26">
        <v>0</v>
      </c>
      <c r="K54" s="26">
        <v>0</v>
      </c>
      <c r="L54" s="26">
        <v>0</v>
      </c>
      <c r="M54" s="26">
        <v>0</v>
      </c>
      <c r="N54" s="26">
        <v>0</v>
      </c>
      <c r="O54" s="26">
        <v>0</v>
      </c>
      <c r="P54" s="26">
        <v>2</v>
      </c>
      <c r="Q54" s="26">
        <v>0</v>
      </c>
      <c r="R54" s="26">
        <v>0</v>
      </c>
      <c r="S54" s="26">
        <v>0</v>
      </c>
      <c r="T54" s="26">
        <v>0</v>
      </c>
      <c r="U54" s="26">
        <v>0</v>
      </c>
      <c r="V54" s="1">
        <f t="shared" si="0"/>
        <v>22</v>
      </c>
    </row>
    <row r="55" spans="1:22" x14ac:dyDescent="0.25">
      <c r="A55" s="38" t="s">
        <v>71</v>
      </c>
      <c r="B55" s="13" t="s">
        <v>12</v>
      </c>
      <c r="C55" s="22" t="s">
        <v>109</v>
      </c>
      <c r="D55" s="13">
        <v>8</v>
      </c>
      <c r="E55" s="6">
        <v>4</v>
      </c>
      <c r="F55" s="24">
        <v>3</v>
      </c>
      <c r="G55" s="4">
        <v>2</v>
      </c>
      <c r="H55" s="4">
        <v>3</v>
      </c>
      <c r="I55" s="4">
        <v>3</v>
      </c>
      <c r="J55" s="24">
        <v>1</v>
      </c>
      <c r="K55" s="24">
        <v>0</v>
      </c>
      <c r="L55" s="4">
        <v>0</v>
      </c>
      <c r="M55" s="4">
        <v>0</v>
      </c>
      <c r="N55" s="4">
        <v>0</v>
      </c>
      <c r="O55" s="4">
        <v>2</v>
      </c>
      <c r="P55" s="4">
        <v>3</v>
      </c>
      <c r="Q55" s="4">
        <v>0</v>
      </c>
      <c r="R55" s="4">
        <v>1</v>
      </c>
      <c r="S55" s="4">
        <v>0</v>
      </c>
      <c r="T55" s="4">
        <v>0</v>
      </c>
      <c r="U55" s="4">
        <v>0</v>
      </c>
      <c r="V55" s="1">
        <f t="shared" si="0"/>
        <v>30</v>
      </c>
    </row>
    <row r="56" spans="1:22" x14ac:dyDescent="0.25">
      <c r="A56" s="38" t="s">
        <v>72</v>
      </c>
      <c r="B56" s="13" t="s">
        <v>12</v>
      </c>
      <c r="C56" s="22" t="s">
        <v>109</v>
      </c>
      <c r="D56" s="13">
        <v>4</v>
      </c>
      <c r="E56" s="6">
        <v>4</v>
      </c>
      <c r="F56" s="27">
        <v>4</v>
      </c>
      <c r="G56" s="27">
        <v>3</v>
      </c>
      <c r="H56" s="27">
        <v>4</v>
      </c>
      <c r="I56" s="27">
        <v>4</v>
      </c>
      <c r="J56" s="27">
        <v>4</v>
      </c>
      <c r="K56" s="27">
        <v>4</v>
      </c>
      <c r="L56" s="27">
        <v>0</v>
      </c>
      <c r="M56" s="27">
        <v>0</v>
      </c>
      <c r="N56" s="27">
        <v>0</v>
      </c>
      <c r="O56" s="27">
        <v>3</v>
      </c>
      <c r="P56" s="27">
        <v>2</v>
      </c>
      <c r="Q56" s="27">
        <v>0</v>
      </c>
      <c r="R56" s="27">
        <v>4</v>
      </c>
      <c r="S56" s="27">
        <v>0</v>
      </c>
      <c r="T56" s="27">
        <v>0</v>
      </c>
      <c r="U56" s="27">
        <v>0</v>
      </c>
      <c r="V56" s="1">
        <f t="shared" si="0"/>
        <v>40</v>
      </c>
    </row>
    <row r="57" spans="1:22" x14ac:dyDescent="0.25">
      <c r="A57" s="38" t="s">
        <v>73</v>
      </c>
      <c r="B57" s="13" t="s">
        <v>12</v>
      </c>
      <c r="C57" s="22" t="s">
        <v>109</v>
      </c>
      <c r="D57" s="13">
        <v>0</v>
      </c>
      <c r="E57" s="6">
        <v>5</v>
      </c>
      <c r="F57" s="24">
        <v>2</v>
      </c>
      <c r="G57" s="4">
        <v>0</v>
      </c>
      <c r="H57" s="4">
        <v>2</v>
      </c>
      <c r="I57" s="4">
        <v>0</v>
      </c>
      <c r="J57" s="24">
        <v>0</v>
      </c>
      <c r="K57" s="24">
        <v>0</v>
      </c>
      <c r="L57" s="4">
        <v>0</v>
      </c>
      <c r="M57" s="4">
        <v>0</v>
      </c>
      <c r="N57" s="4">
        <v>0</v>
      </c>
      <c r="O57" s="4">
        <v>0</v>
      </c>
      <c r="P57" s="4">
        <v>4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1">
        <f t="shared" si="0"/>
        <v>13</v>
      </c>
    </row>
    <row r="58" spans="1:22" x14ac:dyDescent="0.25">
      <c r="A58" s="38" t="s">
        <v>74</v>
      </c>
      <c r="B58" s="13" t="s">
        <v>12</v>
      </c>
      <c r="C58" s="22" t="s">
        <v>109</v>
      </c>
      <c r="D58" s="13">
        <v>2</v>
      </c>
      <c r="E58" s="6">
        <v>10</v>
      </c>
      <c r="F58" s="6">
        <v>2</v>
      </c>
      <c r="G58" s="6">
        <v>4</v>
      </c>
      <c r="H58" s="6">
        <v>2</v>
      </c>
      <c r="I58" s="6">
        <v>2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2</v>
      </c>
      <c r="P58" s="6">
        <v>2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1">
        <f t="shared" si="0"/>
        <v>26</v>
      </c>
    </row>
    <row r="59" spans="1:22" x14ac:dyDescent="0.25">
      <c r="A59" s="38" t="s">
        <v>75</v>
      </c>
      <c r="B59" s="13" t="s">
        <v>12</v>
      </c>
      <c r="C59" s="22" t="s">
        <v>109</v>
      </c>
      <c r="D59" s="13">
        <v>20</v>
      </c>
      <c r="E59" s="6">
        <v>10</v>
      </c>
      <c r="F59" s="4">
        <v>5</v>
      </c>
      <c r="G59" s="4">
        <v>5</v>
      </c>
      <c r="H59" s="4">
        <v>1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1</v>
      </c>
      <c r="Q59" s="4">
        <v>0</v>
      </c>
      <c r="R59" s="4">
        <v>0</v>
      </c>
      <c r="S59" s="4">
        <v>5</v>
      </c>
      <c r="T59" s="4">
        <v>0</v>
      </c>
      <c r="U59" s="4">
        <v>0</v>
      </c>
      <c r="V59" s="1">
        <f t="shared" si="0"/>
        <v>47</v>
      </c>
    </row>
    <row r="60" spans="1:22" x14ac:dyDescent="0.25">
      <c r="A60" s="38" t="s">
        <v>76</v>
      </c>
      <c r="B60" s="13" t="s">
        <v>12</v>
      </c>
      <c r="C60" s="22" t="s">
        <v>109</v>
      </c>
      <c r="D60" s="13">
        <v>10</v>
      </c>
      <c r="E60" s="6">
        <v>6</v>
      </c>
      <c r="F60" s="4">
        <v>6</v>
      </c>
      <c r="G60" s="4">
        <v>2</v>
      </c>
      <c r="H60" s="4">
        <v>2</v>
      </c>
      <c r="I60" s="4">
        <v>2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2</v>
      </c>
      <c r="P60" s="4">
        <v>4</v>
      </c>
      <c r="Q60" s="4">
        <v>0</v>
      </c>
      <c r="R60" s="4">
        <v>2</v>
      </c>
      <c r="S60" s="4">
        <v>0</v>
      </c>
      <c r="T60" s="4">
        <v>0</v>
      </c>
      <c r="U60" s="4">
        <v>0</v>
      </c>
      <c r="V60" s="1">
        <f t="shared" si="0"/>
        <v>36</v>
      </c>
    </row>
    <row r="61" spans="1:22" x14ac:dyDescent="0.25">
      <c r="A61" s="38" t="s">
        <v>77</v>
      </c>
      <c r="B61" s="13" t="s">
        <v>12</v>
      </c>
      <c r="C61" s="22" t="s">
        <v>109</v>
      </c>
      <c r="D61" s="13">
        <v>15</v>
      </c>
      <c r="E61" s="6">
        <v>21</v>
      </c>
      <c r="F61" s="4">
        <v>5</v>
      </c>
      <c r="G61" s="4">
        <v>5</v>
      </c>
      <c r="H61" s="4">
        <v>7</v>
      </c>
      <c r="I61" s="4">
        <v>5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5</v>
      </c>
      <c r="P61" s="4">
        <v>10</v>
      </c>
      <c r="Q61" s="4">
        <v>0</v>
      </c>
      <c r="R61" s="4">
        <v>3</v>
      </c>
      <c r="S61" s="4">
        <v>0</v>
      </c>
      <c r="T61" s="4">
        <v>0</v>
      </c>
      <c r="U61" s="4">
        <v>0</v>
      </c>
      <c r="V61" s="6">
        <f t="shared" si="0"/>
        <v>76</v>
      </c>
    </row>
    <row r="62" spans="1:22" x14ac:dyDescent="0.25">
      <c r="A62" s="38" t="s">
        <v>78</v>
      </c>
      <c r="B62" s="13" t="s">
        <v>12</v>
      </c>
      <c r="C62" s="22" t="s">
        <v>109</v>
      </c>
      <c r="D62" s="13">
        <v>1</v>
      </c>
      <c r="E62" s="6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2</v>
      </c>
      <c r="M62" s="4">
        <v>2</v>
      </c>
      <c r="N62" s="4">
        <v>0</v>
      </c>
      <c r="O62" s="4">
        <v>0</v>
      </c>
      <c r="P62" s="4">
        <v>8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6">
        <f t="shared" si="0"/>
        <v>13</v>
      </c>
    </row>
    <row r="63" spans="1:22" x14ac:dyDescent="0.25">
      <c r="A63" s="38" t="s">
        <v>79</v>
      </c>
      <c r="B63" s="13" t="s">
        <v>12</v>
      </c>
      <c r="C63" s="22" t="s">
        <v>109</v>
      </c>
      <c r="D63" s="13">
        <v>6</v>
      </c>
      <c r="E63" s="6">
        <v>12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2</v>
      </c>
      <c r="M63" s="4">
        <v>2</v>
      </c>
      <c r="N63" s="4">
        <v>0</v>
      </c>
      <c r="O63" s="4">
        <v>2</v>
      </c>
      <c r="P63" s="4">
        <v>16</v>
      </c>
      <c r="Q63" s="4">
        <v>0</v>
      </c>
      <c r="R63" s="4">
        <v>2</v>
      </c>
      <c r="S63" s="4">
        <v>0</v>
      </c>
      <c r="T63" s="4">
        <v>0</v>
      </c>
      <c r="U63" s="4">
        <v>0</v>
      </c>
      <c r="V63" s="6">
        <f t="shared" si="0"/>
        <v>42</v>
      </c>
    </row>
    <row r="64" spans="1:22" x14ac:dyDescent="0.25">
      <c r="A64" s="39" t="s">
        <v>80</v>
      </c>
      <c r="B64" s="13" t="s">
        <v>12</v>
      </c>
      <c r="C64" s="22" t="s">
        <v>109</v>
      </c>
      <c r="D64" s="13">
        <v>0</v>
      </c>
      <c r="E64" s="6">
        <v>6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5</v>
      </c>
      <c r="M64" s="6">
        <v>0</v>
      </c>
      <c r="N64" s="6">
        <v>0</v>
      </c>
      <c r="O64" s="6">
        <v>4</v>
      </c>
      <c r="P64" s="6">
        <v>12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f t="shared" si="0"/>
        <v>27</v>
      </c>
    </row>
    <row r="65" spans="1:22" x14ac:dyDescent="0.25">
      <c r="A65" s="38" t="s">
        <v>81</v>
      </c>
      <c r="B65" s="13" t="s">
        <v>12</v>
      </c>
      <c r="C65" s="22" t="s">
        <v>110</v>
      </c>
      <c r="D65" s="13">
        <v>3</v>
      </c>
      <c r="E65" s="6">
        <v>5</v>
      </c>
      <c r="F65" s="4">
        <v>1</v>
      </c>
      <c r="G65" s="4">
        <v>0</v>
      </c>
      <c r="H65" s="4">
        <v>1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1</v>
      </c>
      <c r="Q65" s="4">
        <v>0</v>
      </c>
      <c r="R65" s="4">
        <v>1</v>
      </c>
      <c r="S65" s="4">
        <v>0</v>
      </c>
      <c r="T65" s="4">
        <v>0</v>
      </c>
      <c r="U65" s="4">
        <v>0</v>
      </c>
      <c r="V65" s="6">
        <f t="shared" si="0"/>
        <v>12</v>
      </c>
    </row>
    <row r="66" spans="1:22" x14ac:dyDescent="0.25">
      <c r="A66" s="38" t="s">
        <v>82</v>
      </c>
      <c r="B66" s="13" t="s">
        <v>12</v>
      </c>
      <c r="C66" s="22" t="s">
        <v>110</v>
      </c>
      <c r="D66" s="13">
        <v>4</v>
      </c>
      <c r="E66" s="6">
        <v>2</v>
      </c>
      <c r="F66" s="4">
        <v>1</v>
      </c>
      <c r="G66" s="4">
        <v>1</v>
      </c>
      <c r="H66" s="4">
        <v>2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1</v>
      </c>
      <c r="P66" s="4">
        <v>1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6">
        <f t="shared" si="0"/>
        <v>12</v>
      </c>
    </row>
    <row r="67" spans="1:22" x14ac:dyDescent="0.25">
      <c r="A67" s="38" t="s">
        <v>83</v>
      </c>
      <c r="B67" s="13" t="s">
        <v>12</v>
      </c>
      <c r="C67" s="22" t="s">
        <v>109</v>
      </c>
      <c r="D67" s="13">
        <v>4</v>
      </c>
      <c r="E67" s="6">
        <v>10</v>
      </c>
      <c r="F67" s="4">
        <v>5</v>
      </c>
      <c r="G67" s="4">
        <v>4</v>
      </c>
      <c r="H67" s="4">
        <v>5</v>
      </c>
      <c r="I67" s="4">
        <v>3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4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6">
        <f t="shared" si="0"/>
        <v>35</v>
      </c>
    </row>
    <row r="68" spans="1:22" x14ac:dyDescent="0.25">
      <c r="A68" s="40" t="s">
        <v>84</v>
      </c>
      <c r="B68" s="13" t="s">
        <v>12</v>
      </c>
      <c r="C68" s="22" t="s">
        <v>109</v>
      </c>
      <c r="D68" s="28">
        <v>2</v>
      </c>
      <c r="E68" s="29">
        <v>5</v>
      </c>
      <c r="F68" s="4">
        <v>5</v>
      </c>
      <c r="G68" s="4">
        <v>2</v>
      </c>
      <c r="H68" s="4">
        <v>4</v>
      </c>
      <c r="I68" s="4">
        <v>1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1</v>
      </c>
      <c r="P68" s="4">
        <v>4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6">
        <f t="shared" si="0"/>
        <v>24</v>
      </c>
    </row>
    <row r="69" spans="1:22" x14ac:dyDescent="0.25">
      <c r="A69" s="41" t="s">
        <v>85</v>
      </c>
      <c r="B69" s="13" t="s">
        <v>12</v>
      </c>
      <c r="C69" s="22" t="s">
        <v>109</v>
      </c>
      <c r="D69" s="28">
        <v>4</v>
      </c>
      <c r="E69" s="29">
        <v>0</v>
      </c>
      <c r="F69" s="4">
        <v>4</v>
      </c>
      <c r="G69" s="4">
        <v>2</v>
      </c>
      <c r="H69" s="4">
        <v>1</v>
      </c>
      <c r="I69" s="4">
        <v>1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6</v>
      </c>
      <c r="Q69" s="4">
        <v>0</v>
      </c>
      <c r="R69" s="30">
        <v>1</v>
      </c>
      <c r="S69" s="30">
        <v>0</v>
      </c>
      <c r="T69" s="30">
        <v>0</v>
      </c>
      <c r="U69" s="30">
        <v>0</v>
      </c>
      <c r="V69" s="6">
        <f t="shared" si="0"/>
        <v>19</v>
      </c>
    </row>
    <row r="70" spans="1:22" x14ac:dyDescent="0.25">
      <c r="A70" s="41" t="s">
        <v>86</v>
      </c>
      <c r="B70" s="13" t="s">
        <v>12</v>
      </c>
      <c r="C70" s="22" t="s">
        <v>109</v>
      </c>
      <c r="D70" s="28">
        <v>10</v>
      </c>
      <c r="E70" s="29">
        <v>6</v>
      </c>
      <c r="F70" s="4">
        <v>4</v>
      </c>
      <c r="G70" s="4">
        <v>4</v>
      </c>
      <c r="H70" s="4">
        <v>4</v>
      </c>
      <c r="I70" s="4">
        <v>4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2</v>
      </c>
      <c r="P70" s="4">
        <v>4</v>
      </c>
      <c r="Q70" s="4">
        <v>0</v>
      </c>
      <c r="R70" s="30">
        <v>0</v>
      </c>
      <c r="S70" s="30">
        <v>0</v>
      </c>
      <c r="T70" s="30">
        <v>0</v>
      </c>
      <c r="U70" s="30">
        <v>0</v>
      </c>
      <c r="V70" s="6">
        <f t="shared" ref="V70:V88" si="1">SUM(D70:U70)</f>
        <v>38</v>
      </c>
    </row>
    <row r="71" spans="1:22" x14ac:dyDescent="0.25">
      <c r="A71" s="41" t="s">
        <v>87</v>
      </c>
      <c r="B71" s="13" t="s">
        <v>12</v>
      </c>
      <c r="C71" s="22" t="s">
        <v>109</v>
      </c>
      <c r="D71" s="28">
        <v>4</v>
      </c>
      <c r="E71" s="29">
        <v>6</v>
      </c>
      <c r="F71" s="4">
        <v>4</v>
      </c>
      <c r="G71" s="4">
        <v>3</v>
      </c>
      <c r="H71" s="4">
        <v>3</v>
      </c>
      <c r="I71" s="4">
        <v>0</v>
      </c>
      <c r="J71" s="4">
        <v>4</v>
      </c>
      <c r="K71" s="4">
        <v>0</v>
      </c>
      <c r="L71" s="4">
        <v>2</v>
      </c>
      <c r="M71" s="4">
        <v>2</v>
      </c>
      <c r="N71" s="4">
        <v>2</v>
      </c>
      <c r="O71" s="4">
        <v>2</v>
      </c>
      <c r="P71" s="4">
        <v>2</v>
      </c>
      <c r="Q71" s="4">
        <v>0</v>
      </c>
      <c r="R71" s="30">
        <v>4</v>
      </c>
      <c r="S71" s="30">
        <v>3</v>
      </c>
      <c r="T71" s="30">
        <v>0</v>
      </c>
      <c r="U71" s="30">
        <v>0</v>
      </c>
      <c r="V71" s="6">
        <f t="shared" si="1"/>
        <v>41</v>
      </c>
    </row>
    <row r="72" spans="1:22" x14ac:dyDescent="0.25">
      <c r="A72" s="41" t="s">
        <v>88</v>
      </c>
      <c r="B72" s="13" t="s">
        <v>12</v>
      </c>
      <c r="C72" s="22" t="s">
        <v>109</v>
      </c>
      <c r="D72" s="28">
        <v>20</v>
      </c>
      <c r="E72" s="29">
        <v>20</v>
      </c>
      <c r="F72" s="4">
        <v>10</v>
      </c>
      <c r="G72" s="4">
        <v>5</v>
      </c>
      <c r="H72" s="4">
        <v>10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5</v>
      </c>
      <c r="P72" s="4">
        <v>5</v>
      </c>
      <c r="Q72" s="4">
        <v>0</v>
      </c>
      <c r="R72" s="30">
        <v>5</v>
      </c>
      <c r="S72" s="30">
        <v>0</v>
      </c>
      <c r="T72" s="30">
        <v>0</v>
      </c>
      <c r="U72" s="30">
        <v>0</v>
      </c>
      <c r="V72" s="6">
        <f t="shared" si="1"/>
        <v>80</v>
      </c>
    </row>
    <row r="73" spans="1:22" x14ac:dyDescent="0.25">
      <c r="A73" s="41" t="s">
        <v>89</v>
      </c>
      <c r="B73" s="13" t="s">
        <v>12</v>
      </c>
      <c r="C73" s="22" t="s">
        <v>110</v>
      </c>
      <c r="D73" s="28">
        <v>0</v>
      </c>
      <c r="E73" s="29">
        <v>15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5</v>
      </c>
      <c r="M73" s="4">
        <v>0</v>
      </c>
      <c r="N73" s="4">
        <v>0</v>
      </c>
      <c r="O73" s="4">
        <v>0</v>
      </c>
      <c r="P73" s="4">
        <v>15</v>
      </c>
      <c r="Q73" s="4">
        <v>0</v>
      </c>
      <c r="R73" s="30">
        <v>10</v>
      </c>
      <c r="S73" s="30">
        <v>0</v>
      </c>
      <c r="T73" s="30">
        <v>0</v>
      </c>
      <c r="U73" s="30">
        <v>0</v>
      </c>
      <c r="V73" s="6">
        <f t="shared" si="1"/>
        <v>45</v>
      </c>
    </row>
    <row r="74" spans="1:22" x14ac:dyDescent="0.25">
      <c r="A74" s="41" t="s">
        <v>90</v>
      </c>
      <c r="B74" s="14" t="s">
        <v>12</v>
      </c>
      <c r="C74" s="22" t="s">
        <v>109</v>
      </c>
      <c r="D74" s="13">
        <v>0</v>
      </c>
      <c r="E74" s="6">
        <v>1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1</v>
      </c>
      <c r="M74" s="4">
        <v>0</v>
      </c>
      <c r="N74" s="4">
        <v>0</v>
      </c>
      <c r="O74" s="4">
        <v>1</v>
      </c>
      <c r="P74" s="4">
        <v>4</v>
      </c>
      <c r="Q74" s="4">
        <v>0</v>
      </c>
      <c r="R74" s="4">
        <v>0</v>
      </c>
      <c r="S74" s="30">
        <v>0</v>
      </c>
      <c r="T74" s="30">
        <v>0</v>
      </c>
      <c r="U74" s="30">
        <v>0</v>
      </c>
      <c r="V74" s="6">
        <f t="shared" si="1"/>
        <v>7</v>
      </c>
    </row>
    <row r="75" spans="1:22" x14ac:dyDescent="0.25">
      <c r="A75" s="41" t="s">
        <v>91</v>
      </c>
      <c r="B75" s="14" t="s">
        <v>12</v>
      </c>
      <c r="C75" s="22" t="s">
        <v>110</v>
      </c>
      <c r="D75" s="28">
        <v>3</v>
      </c>
      <c r="E75" s="29">
        <v>2</v>
      </c>
      <c r="F75" s="4">
        <v>2</v>
      </c>
      <c r="G75" s="4">
        <v>1</v>
      </c>
      <c r="H75" s="4">
        <v>1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30">
        <v>0</v>
      </c>
      <c r="S75" s="30">
        <v>0</v>
      </c>
      <c r="T75" s="30">
        <v>0</v>
      </c>
      <c r="U75" s="30">
        <v>0</v>
      </c>
      <c r="V75" s="6">
        <f t="shared" si="1"/>
        <v>9</v>
      </c>
    </row>
    <row r="76" spans="1:22" x14ac:dyDescent="0.25">
      <c r="A76" s="41" t="s">
        <v>92</v>
      </c>
      <c r="B76" s="14" t="s">
        <v>12</v>
      </c>
      <c r="C76" s="22" t="s">
        <v>110</v>
      </c>
      <c r="D76" s="28">
        <v>0</v>
      </c>
      <c r="E76" s="29">
        <v>5</v>
      </c>
      <c r="F76" s="4">
        <v>5</v>
      </c>
      <c r="G76" s="4">
        <v>4</v>
      </c>
      <c r="H76" s="4">
        <v>3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2</v>
      </c>
      <c r="P76" s="4">
        <v>6</v>
      </c>
      <c r="Q76" s="4">
        <v>0</v>
      </c>
      <c r="R76" s="30">
        <v>0</v>
      </c>
      <c r="S76" s="30">
        <v>0</v>
      </c>
      <c r="T76" s="30">
        <v>0</v>
      </c>
      <c r="U76" s="30">
        <v>0</v>
      </c>
      <c r="V76" s="6">
        <f t="shared" si="1"/>
        <v>25</v>
      </c>
    </row>
    <row r="77" spans="1:22" x14ac:dyDescent="0.25">
      <c r="A77" s="41" t="s">
        <v>93</v>
      </c>
      <c r="B77" s="14" t="s">
        <v>12</v>
      </c>
      <c r="C77" s="22" t="s">
        <v>110</v>
      </c>
      <c r="D77" s="28">
        <v>2</v>
      </c>
      <c r="E77" s="29">
        <v>2</v>
      </c>
      <c r="F77" s="4">
        <v>2</v>
      </c>
      <c r="G77" s="4">
        <v>2</v>
      </c>
      <c r="H77" s="4">
        <v>2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30">
        <v>0</v>
      </c>
      <c r="S77" s="30">
        <v>0</v>
      </c>
      <c r="T77" s="30">
        <v>0</v>
      </c>
      <c r="U77" s="30">
        <v>0</v>
      </c>
      <c r="V77" s="6">
        <f t="shared" si="1"/>
        <v>10</v>
      </c>
    </row>
    <row r="78" spans="1:22" x14ac:dyDescent="0.25">
      <c r="A78" s="41" t="s">
        <v>94</v>
      </c>
      <c r="B78" s="13" t="s">
        <v>12</v>
      </c>
      <c r="C78" s="22" t="s">
        <v>109</v>
      </c>
      <c r="D78" s="28">
        <v>4</v>
      </c>
      <c r="E78" s="29">
        <v>10</v>
      </c>
      <c r="F78" s="4">
        <v>4</v>
      </c>
      <c r="G78" s="4">
        <v>2</v>
      </c>
      <c r="H78" s="4">
        <v>2</v>
      </c>
      <c r="I78" s="4">
        <v>2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3</v>
      </c>
      <c r="P78" s="4">
        <v>2</v>
      </c>
      <c r="Q78" s="4">
        <v>0</v>
      </c>
      <c r="R78" s="30">
        <v>0</v>
      </c>
      <c r="S78" s="30">
        <v>0</v>
      </c>
      <c r="T78" s="30">
        <v>0</v>
      </c>
      <c r="U78" s="30">
        <v>0</v>
      </c>
      <c r="V78" s="6">
        <f t="shared" si="1"/>
        <v>29</v>
      </c>
    </row>
    <row r="79" spans="1:22" x14ac:dyDescent="0.25">
      <c r="A79" s="41" t="s">
        <v>95</v>
      </c>
      <c r="B79" s="13" t="s">
        <v>12</v>
      </c>
      <c r="C79" s="22" t="s">
        <v>109</v>
      </c>
      <c r="D79" s="28">
        <v>15</v>
      </c>
      <c r="E79" s="29">
        <v>15</v>
      </c>
      <c r="F79" s="4">
        <v>10</v>
      </c>
      <c r="G79" s="4">
        <v>5</v>
      </c>
      <c r="H79" s="4">
        <v>5</v>
      </c>
      <c r="I79" s="4">
        <v>5</v>
      </c>
      <c r="J79" s="4">
        <v>0</v>
      </c>
      <c r="K79" s="4">
        <v>5</v>
      </c>
      <c r="L79" s="4">
        <v>0</v>
      </c>
      <c r="M79" s="4">
        <v>0</v>
      </c>
      <c r="N79" s="4">
        <v>0</v>
      </c>
      <c r="O79" s="4">
        <v>5</v>
      </c>
      <c r="P79" s="4">
        <v>5</v>
      </c>
      <c r="Q79" s="4">
        <v>0</v>
      </c>
      <c r="R79" s="30">
        <v>5</v>
      </c>
      <c r="S79" s="30">
        <v>5</v>
      </c>
      <c r="T79" s="30">
        <v>0</v>
      </c>
      <c r="U79" s="30">
        <v>0</v>
      </c>
      <c r="V79" s="6">
        <f t="shared" si="1"/>
        <v>80</v>
      </c>
    </row>
    <row r="80" spans="1:22" x14ac:dyDescent="0.25">
      <c r="A80" s="41" t="s">
        <v>96</v>
      </c>
      <c r="B80" s="13" t="s">
        <v>12</v>
      </c>
      <c r="C80" s="22" t="s">
        <v>109</v>
      </c>
      <c r="D80" s="28">
        <v>8</v>
      </c>
      <c r="E80" s="29">
        <v>6</v>
      </c>
      <c r="F80" s="4">
        <v>3</v>
      </c>
      <c r="G80" s="4">
        <v>2</v>
      </c>
      <c r="H80" s="4">
        <v>2</v>
      </c>
      <c r="I80" s="4">
        <v>2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2</v>
      </c>
      <c r="P80" s="4">
        <v>2</v>
      </c>
      <c r="Q80" s="4">
        <v>0</v>
      </c>
      <c r="R80" s="30">
        <v>3</v>
      </c>
      <c r="S80" s="30">
        <v>0</v>
      </c>
      <c r="T80" s="30">
        <v>0</v>
      </c>
      <c r="U80" s="30">
        <v>0</v>
      </c>
      <c r="V80" s="6">
        <f t="shared" si="1"/>
        <v>30</v>
      </c>
    </row>
    <row r="81" spans="1:22" x14ac:dyDescent="0.25">
      <c r="A81" s="41" t="s">
        <v>97</v>
      </c>
      <c r="B81" s="13" t="s">
        <v>12</v>
      </c>
      <c r="C81" s="22" t="s">
        <v>109</v>
      </c>
      <c r="D81" s="28">
        <v>16</v>
      </c>
      <c r="E81" s="29">
        <v>16</v>
      </c>
      <c r="F81" s="4">
        <v>6</v>
      </c>
      <c r="G81" s="4">
        <v>0</v>
      </c>
      <c r="H81" s="4">
        <v>4</v>
      </c>
      <c r="I81" s="4">
        <v>1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4</v>
      </c>
      <c r="Q81" s="4">
        <v>2</v>
      </c>
      <c r="R81" s="30">
        <v>0</v>
      </c>
      <c r="S81" s="30">
        <v>0</v>
      </c>
      <c r="T81" s="30">
        <v>0</v>
      </c>
      <c r="U81" s="30">
        <v>0</v>
      </c>
      <c r="V81" s="6">
        <f t="shared" si="1"/>
        <v>49</v>
      </c>
    </row>
    <row r="82" spans="1:22" x14ac:dyDescent="0.25">
      <c r="A82" s="41" t="s">
        <v>98</v>
      </c>
      <c r="B82" s="13" t="s">
        <v>12</v>
      </c>
      <c r="C82" s="22" t="s">
        <v>109</v>
      </c>
      <c r="D82" s="28">
        <v>9</v>
      </c>
      <c r="E82" s="29">
        <v>8</v>
      </c>
      <c r="F82" s="4">
        <v>2</v>
      </c>
      <c r="G82" s="4">
        <v>2</v>
      </c>
      <c r="H82" s="4">
        <v>1</v>
      </c>
      <c r="I82" s="4">
        <v>2</v>
      </c>
      <c r="J82" s="4">
        <v>1</v>
      </c>
      <c r="K82" s="4">
        <v>0</v>
      </c>
      <c r="L82" s="4">
        <v>0</v>
      </c>
      <c r="M82" s="4">
        <v>0</v>
      </c>
      <c r="N82" s="4">
        <v>0</v>
      </c>
      <c r="O82" s="4">
        <v>1</v>
      </c>
      <c r="P82" s="4">
        <v>4</v>
      </c>
      <c r="Q82" s="4">
        <v>0</v>
      </c>
      <c r="R82" s="30">
        <v>0</v>
      </c>
      <c r="S82" s="30">
        <v>0</v>
      </c>
      <c r="T82" s="30">
        <v>0</v>
      </c>
      <c r="U82" s="30">
        <v>0</v>
      </c>
      <c r="V82" s="6">
        <f t="shared" si="1"/>
        <v>30</v>
      </c>
    </row>
    <row r="83" spans="1:22" x14ac:dyDescent="0.25">
      <c r="A83" s="41" t="s">
        <v>99</v>
      </c>
      <c r="B83" s="13" t="s">
        <v>12</v>
      </c>
      <c r="C83" s="22" t="s">
        <v>109</v>
      </c>
      <c r="D83" s="28">
        <v>6</v>
      </c>
      <c r="E83" s="29">
        <v>20</v>
      </c>
      <c r="F83" s="4">
        <v>8</v>
      </c>
      <c r="G83" s="4">
        <v>4</v>
      </c>
      <c r="H83" s="4">
        <v>4</v>
      </c>
      <c r="I83" s="4">
        <v>4</v>
      </c>
      <c r="J83" s="4">
        <v>4</v>
      </c>
      <c r="K83" s="4">
        <v>4</v>
      </c>
      <c r="L83" s="4">
        <v>0</v>
      </c>
      <c r="M83" s="4">
        <v>0</v>
      </c>
      <c r="N83" s="4">
        <v>0</v>
      </c>
      <c r="O83" s="4">
        <v>4</v>
      </c>
      <c r="P83" s="4">
        <v>4</v>
      </c>
      <c r="Q83" s="4">
        <v>0</v>
      </c>
      <c r="R83" s="30">
        <v>0</v>
      </c>
      <c r="S83" s="30">
        <v>4</v>
      </c>
      <c r="T83" s="30">
        <v>0</v>
      </c>
      <c r="U83" s="30">
        <v>0</v>
      </c>
      <c r="V83" s="6">
        <f t="shared" si="1"/>
        <v>66</v>
      </c>
    </row>
    <row r="84" spans="1:22" x14ac:dyDescent="0.25">
      <c r="A84" s="41" t="s">
        <v>100</v>
      </c>
      <c r="B84" s="13" t="s">
        <v>12</v>
      </c>
      <c r="C84" s="22" t="s">
        <v>109</v>
      </c>
      <c r="D84" s="28">
        <v>1</v>
      </c>
      <c r="E84" s="29">
        <v>1</v>
      </c>
      <c r="F84" s="4">
        <v>1</v>
      </c>
      <c r="G84" s="4">
        <v>1</v>
      </c>
      <c r="H84" s="4">
        <v>1</v>
      </c>
      <c r="I84" s="4">
        <v>1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1</v>
      </c>
      <c r="P84" s="4">
        <v>1</v>
      </c>
      <c r="Q84" s="4">
        <v>0</v>
      </c>
      <c r="R84" s="30">
        <v>1</v>
      </c>
      <c r="S84" s="30">
        <v>0</v>
      </c>
      <c r="T84" s="30">
        <v>0</v>
      </c>
      <c r="U84" s="30">
        <v>0</v>
      </c>
      <c r="V84" s="6">
        <f t="shared" si="1"/>
        <v>9</v>
      </c>
    </row>
    <row r="85" spans="1:22" x14ac:dyDescent="0.25">
      <c r="A85" s="41" t="s">
        <v>101</v>
      </c>
      <c r="B85" s="14" t="s">
        <v>12</v>
      </c>
      <c r="C85" s="22" t="s">
        <v>110</v>
      </c>
      <c r="D85" s="28">
        <v>2</v>
      </c>
      <c r="E85" s="29">
        <v>2</v>
      </c>
      <c r="F85" s="4">
        <v>2</v>
      </c>
      <c r="G85" s="4">
        <v>0</v>
      </c>
      <c r="H85" s="4">
        <v>2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1</v>
      </c>
      <c r="Q85" s="4">
        <v>0</v>
      </c>
      <c r="R85" s="30">
        <v>0</v>
      </c>
      <c r="S85" s="30">
        <v>0</v>
      </c>
      <c r="T85" s="30">
        <v>0</v>
      </c>
      <c r="U85" s="30">
        <v>0</v>
      </c>
      <c r="V85" s="6">
        <f t="shared" si="1"/>
        <v>9</v>
      </c>
    </row>
    <row r="86" spans="1:22" x14ac:dyDescent="0.25">
      <c r="A86" s="41" t="s">
        <v>102</v>
      </c>
      <c r="B86" s="14" t="s">
        <v>12</v>
      </c>
      <c r="C86" s="22" t="s">
        <v>110</v>
      </c>
      <c r="D86" s="28">
        <v>0</v>
      </c>
      <c r="E86" s="29">
        <v>6</v>
      </c>
      <c r="F86" s="4">
        <v>0</v>
      </c>
      <c r="G86" s="4">
        <v>0</v>
      </c>
      <c r="H86" s="4">
        <v>5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30">
        <v>0</v>
      </c>
      <c r="S86" s="30">
        <v>0</v>
      </c>
      <c r="T86" s="30">
        <v>0</v>
      </c>
      <c r="U86" s="30">
        <v>0</v>
      </c>
      <c r="V86" s="6">
        <f t="shared" si="1"/>
        <v>11</v>
      </c>
    </row>
    <row r="87" spans="1:22" x14ac:dyDescent="0.25">
      <c r="A87" s="41" t="s">
        <v>103</v>
      </c>
      <c r="B87" s="14" t="s">
        <v>12</v>
      </c>
      <c r="C87" s="22" t="s">
        <v>110</v>
      </c>
      <c r="D87" s="28">
        <v>0</v>
      </c>
      <c r="E87" s="29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30">
        <v>0</v>
      </c>
      <c r="S87" s="30">
        <v>0</v>
      </c>
      <c r="T87" s="30">
        <v>0</v>
      </c>
      <c r="U87" s="30">
        <v>0</v>
      </c>
      <c r="V87" s="6">
        <f t="shared" si="1"/>
        <v>0</v>
      </c>
    </row>
    <row r="88" spans="1:22" x14ac:dyDescent="0.25">
      <c r="A88" s="42" t="s">
        <v>104</v>
      </c>
      <c r="B88" s="31" t="s">
        <v>12</v>
      </c>
      <c r="C88" s="32" t="s">
        <v>110</v>
      </c>
      <c r="D88" s="26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6">
        <f t="shared" si="1"/>
        <v>0</v>
      </c>
    </row>
    <row r="89" spans="1:22" ht="15.75" customHeight="1" x14ac:dyDescent="0.25">
      <c r="A89" s="48" t="s">
        <v>123</v>
      </c>
      <c r="B89" s="35"/>
      <c r="C89" s="35"/>
      <c r="D89" s="35">
        <f>SUM(D5:D88)</f>
        <v>505</v>
      </c>
      <c r="E89" s="35">
        <f>SUM(E5:E88)</f>
        <v>558</v>
      </c>
      <c r="F89" s="35">
        <f>SUM(F5:F88)</f>
        <v>256</v>
      </c>
      <c r="G89" s="35">
        <f>SUM(G5:G88)</f>
        <v>153</v>
      </c>
      <c r="H89" s="35">
        <f>SUM(H5:H88)</f>
        <v>219</v>
      </c>
      <c r="I89" s="35">
        <f>SUM(I5:I88)</f>
        <v>136</v>
      </c>
      <c r="J89" s="35">
        <f>SUM(J5:J88)</f>
        <v>49</v>
      </c>
      <c r="K89" s="35">
        <f>SUM(K5:K88)</f>
        <v>37</v>
      </c>
      <c r="L89" s="35">
        <f>SUM(L5:L88)</f>
        <v>37</v>
      </c>
      <c r="M89" s="35">
        <f>SUM(M5:M88)</f>
        <v>26</v>
      </c>
      <c r="N89" s="35">
        <f>SUM(N5:N88)</f>
        <v>11</v>
      </c>
      <c r="O89" s="35">
        <f>SUM(O5:O88)</f>
        <v>103</v>
      </c>
      <c r="P89" s="35">
        <f>SUM(P5:P88)</f>
        <v>311</v>
      </c>
      <c r="Q89" s="35">
        <f>SUM(Q5:Q88)</f>
        <v>20</v>
      </c>
      <c r="R89" s="35">
        <f>SUM(R5:R88)</f>
        <v>113</v>
      </c>
      <c r="S89" s="35">
        <f>SUM(S5:S88)</f>
        <v>37</v>
      </c>
      <c r="T89" s="35">
        <f>SUM(T5:T88)</f>
        <v>6</v>
      </c>
      <c r="U89" s="35">
        <f>SUM(U5:U88)</f>
        <v>5</v>
      </c>
      <c r="V89" s="35">
        <f>SUM(V5:V88)</f>
        <v>2582</v>
      </c>
    </row>
    <row r="90" spans="1:22" x14ac:dyDescent="0.25">
      <c r="A90" s="49" t="s">
        <v>17</v>
      </c>
      <c r="B90" s="13" t="s">
        <v>18</v>
      </c>
      <c r="C90" s="33" t="s">
        <v>124</v>
      </c>
      <c r="D90" s="13">
        <v>142</v>
      </c>
      <c r="E90" s="6">
        <v>270</v>
      </c>
      <c r="F90" s="6">
        <v>23</v>
      </c>
      <c r="G90" s="6">
        <v>50</v>
      </c>
      <c r="H90" s="6">
        <v>60</v>
      </c>
      <c r="I90" s="6">
        <v>10</v>
      </c>
      <c r="J90" s="6">
        <v>16</v>
      </c>
      <c r="K90" s="6">
        <v>10</v>
      </c>
      <c r="L90" s="6">
        <v>2</v>
      </c>
      <c r="M90" s="6">
        <v>2</v>
      </c>
      <c r="N90" s="6">
        <v>2</v>
      </c>
      <c r="O90" s="6">
        <v>20</v>
      </c>
      <c r="P90" s="6">
        <v>30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1">
        <f t="shared" ref="V90:V95" si="2">SUM(D90:R90)</f>
        <v>637</v>
      </c>
    </row>
    <row r="91" spans="1:22" x14ac:dyDescent="0.25">
      <c r="A91" s="49" t="s">
        <v>19</v>
      </c>
      <c r="B91" s="14" t="s">
        <v>18</v>
      </c>
      <c r="C91" s="33" t="s">
        <v>124</v>
      </c>
      <c r="D91" s="13">
        <v>130</v>
      </c>
      <c r="E91" s="6">
        <v>200</v>
      </c>
      <c r="F91" s="6">
        <v>0</v>
      </c>
      <c r="G91" s="6">
        <v>30</v>
      </c>
      <c r="H91" s="6">
        <v>80</v>
      </c>
      <c r="I91" s="6">
        <v>15</v>
      </c>
      <c r="J91" s="6">
        <v>36</v>
      </c>
      <c r="K91" s="6">
        <v>4</v>
      </c>
      <c r="L91" s="6">
        <v>10</v>
      </c>
      <c r="M91" s="6">
        <v>10</v>
      </c>
      <c r="N91" s="6">
        <v>4</v>
      </c>
      <c r="O91" s="6">
        <v>24</v>
      </c>
      <c r="P91" s="6">
        <v>30</v>
      </c>
      <c r="Q91" s="6">
        <v>4</v>
      </c>
      <c r="R91" s="6">
        <v>0</v>
      </c>
      <c r="S91" s="6">
        <v>0</v>
      </c>
      <c r="T91" s="6">
        <v>0</v>
      </c>
      <c r="U91" s="6">
        <v>0</v>
      </c>
      <c r="V91" s="6">
        <f>SUM(D91:U91)</f>
        <v>577</v>
      </c>
    </row>
    <row r="92" spans="1:22" x14ac:dyDescent="0.25">
      <c r="A92" s="49" t="s">
        <v>20</v>
      </c>
      <c r="B92" s="14" t="s">
        <v>12</v>
      </c>
      <c r="C92" s="8" t="s">
        <v>125</v>
      </c>
      <c r="D92" s="13">
        <v>60</v>
      </c>
      <c r="E92" s="6">
        <v>70</v>
      </c>
      <c r="F92" s="6">
        <v>60</v>
      </c>
      <c r="G92" s="6">
        <v>7</v>
      </c>
      <c r="H92" s="6">
        <v>10</v>
      </c>
      <c r="I92" s="6">
        <v>5</v>
      </c>
      <c r="J92" s="6">
        <v>11</v>
      </c>
      <c r="K92" s="6">
        <v>0</v>
      </c>
      <c r="L92" s="6">
        <v>2</v>
      </c>
      <c r="M92" s="6">
        <v>4</v>
      </c>
      <c r="N92" s="6">
        <v>0</v>
      </c>
      <c r="O92" s="6">
        <v>6</v>
      </c>
      <c r="P92" s="6">
        <v>28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f>SUM(D92:U92)</f>
        <v>263</v>
      </c>
    </row>
    <row r="93" spans="1:22" x14ac:dyDescent="0.25">
      <c r="A93" s="49" t="s">
        <v>21</v>
      </c>
      <c r="B93" s="14" t="s">
        <v>18</v>
      </c>
      <c r="C93" s="8" t="s">
        <v>126</v>
      </c>
      <c r="D93" s="13">
        <v>37</v>
      </c>
      <c r="E93" s="6">
        <v>4</v>
      </c>
      <c r="F93" s="6">
        <v>2</v>
      </c>
      <c r="G93" s="6">
        <v>10</v>
      </c>
      <c r="H93" s="6">
        <v>8</v>
      </c>
      <c r="I93" s="6">
        <v>5</v>
      </c>
      <c r="J93" s="6">
        <v>0</v>
      </c>
      <c r="K93" s="6">
        <v>2</v>
      </c>
      <c r="L93" s="6">
        <v>0</v>
      </c>
      <c r="M93" s="6">
        <v>0</v>
      </c>
      <c r="N93" s="6">
        <v>0</v>
      </c>
      <c r="O93" s="6">
        <v>5</v>
      </c>
      <c r="P93" s="6">
        <v>2</v>
      </c>
      <c r="Q93" s="6">
        <v>0</v>
      </c>
      <c r="R93" s="6">
        <v>2</v>
      </c>
      <c r="S93" s="6">
        <v>0</v>
      </c>
      <c r="T93" s="6">
        <v>0</v>
      </c>
      <c r="U93" s="6">
        <v>0</v>
      </c>
      <c r="V93" s="6">
        <f t="shared" si="2"/>
        <v>77</v>
      </c>
    </row>
    <row r="94" spans="1:22" x14ac:dyDescent="0.25">
      <c r="A94" s="49" t="s">
        <v>22</v>
      </c>
      <c r="B94" s="31" t="s">
        <v>18</v>
      </c>
      <c r="C94" s="8" t="s">
        <v>126</v>
      </c>
      <c r="D94" s="13">
        <v>60</v>
      </c>
      <c r="E94" s="6">
        <v>22</v>
      </c>
      <c r="F94" s="6">
        <v>0</v>
      </c>
      <c r="G94" s="6">
        <v>0</v>
      </c>
      <c r="H94" s="6">
        <v>2</v>
      </c>
      <c r="I94" s="6">
        <v>4</v>
      </c>
      <c r="J94" s="6">
        <v>2</v>
      </c>
      <c r="K94" s="6">
        <v>0</v>
      </c>
      <c r="L94" s="6">
        <v>0</v>
      </c>
      <c r="M94" s="6">
        <v>0</v>
      </c>
      <c r="N94" s="6">
        <v>0</v>
      </c>
      <c r="O94" s="6">
        <v>2</v>
      </c>
      <c r="P94" s="6">
        <v>1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f>SUM(D94:U94)</f>
        <v>93</v>
      </c>
    </row>
    <row r="95" spans="1:22" x14ac:dyDescent="0.25">
      <c r="A95" s="49" t="s">
        <v>23</v>
      </c>
      <c r="B95" s="13" t="s">
        <v>18</v>
      </c>
      <c r="C95" s="8" t="s">
        <v>124</v>
      </c>
      <c r="D95" s="13">
        <v>32</v>
      </c>
      <c r="E95" s="6">
        <v>12</v>
      </c>
      <c r="F95" s="6">
        <v>6</v>
      </c>
      <c r="G95" s="6">
        <v>15</v>
      </c>
      <c r="H95" s="6">
        <v>6</v>
      </c>
      <c r="I95" s="6">
        <v>6</v>
      </c>
      <c r="J95" s="6">
        <v>6</v>
      </c>
      <c r="K95" s="6">
        <v>6</v>
      </c>
      <c r="L95" s="6">
        <v>0</v>
      </c>
      <c r="M95" s="6">
        <v>0</v>
      </c>
      <c r="N95" s="6">
        <v>0</v>
      </c>
      <c r="O95" s="6">
        <v>0</v>
      </c>
      <c r="P95" s="6">
        <v>4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f t="shared" si="2"/>
        <v>93</v>
      </c>
    </row>
    <row r="96" spans="1:22" x14ac:dyDescent="0.25">
      <c r="A96" s="49" t="s">
        <v>24</v>
      </c>
      <c r="B96" s="14" t="s">
        <v>18</v>
      </c>
      <c r="C96" s="8" t="s">
        <v>124</v>
      </c>
      <c r="D96" s="13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20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f>SUM(D96:U96)</f>
        <v>20</v>
      </c>
    </row>
    <row r="97" spans="1:22" x14ac:dyDescent="0.25">
      <c r="A97" s="49" t="s">
        <v>25</v>
      </c>
      <c r="B97" s="31" t="s">
        <v>12</v>
      </c>
      <c r="C97" s="34" t="s">
        <v>126</v>
      </c>
      <c r="D97" s="13">
        <v>8</v>
      </c>
      <c r="E97" s="6">
        <v>15</v>
      </c>
      <c r="F97" s="6">
        <v>0</v>
      </c>
      <c r="G97" s="6">
        <v>0</v>
      </c>
      <c r="H97" s="6">
        <v>2</v>
      </c>
      <c r="I97" s="6">
        <v>2</v>
      </c>
      <c r="J97" s="6">
        <v>0</v>
      </c>
      <c r="K97" s="6">
        <v>2</v>
      </c>
      <c r="L97" s="6">
        <v>0</v>
      </c>
      <c r="M97" s="6">
        <v>0</v>
      </c>
      <c r="N97" s="6">
        <v>0</v>
      </c>
      <c r="O97" s="6">
        <v>10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f>SUM(D97:U97)</f>
        <v>39</v>
      </c>
    </row>
    <row r="98" spans="1:22" x14ac:dyDescent="0.25">
      <c r="A98" s="73" t="s">
        <v>128</v>
      </c>
      <c r="B98" s="35"/>
      <c r="C98" s="35"/>
      <c r="D98" s="35">
        <f>SUM(D90:D97)</f>
        <v>469</v>
      </c>
      <c r="E98" s="35">
        <f t="shared" ref="E98:V98" si="3">SUM(E90:E97)</f>
        <v>593</v>
      </c>
      <c r="F98" s="35">
        <f t="shared" si="3"/>
        <v>91</v>
      </c>
      <c r="G98" s="35">
        <f t="shared" si="3"/>
        <v>112</v>
      </c>
      <c r="H98" s="35">
        <f t="shared" si="3"/>
        <v>168</v>
      </c>
      <c r="I98" s="35">
        <f t="shared" si="3"/>
        <v>47</v>
      </c>
      <c r="J98" s="35">
        <f t="shared" si="3"/>
        <v>71</v>
      </c>
      <c r="K98" s="35">
        <f t="shared" si="3"/>
        <v>24</v>
      </c>
      <c r="L98" s="35">
        <f t="shared" si="3"/>
        <v>14</v>
      </c>
      <c r="M98" s="35">
        <f t="shared" si="3"/>
        <v>16</v>
      </c>
      <c r="N98" s="35">
        <f t="shared" si="3"/>
        <v>6</v>
      </c>
      <c r="O98" s="35">
        <f t="shared" si="3"/>
        <v>67</v>
      </c>
      <c r="P98" s="35">
        <f t="shared" si="3"/>
        <v>115</v>
      </c>
      <c r="Q98" s="35">
        <f t="shared" si="3"/>
        <v>4</v>
      </c>
      <c r="R98" s="35">
        <f t="shared" si="3"/>
        <v>2</v>
      </c>
      <c r="S98" s="35">
        <f t="shared" si="3"/>
        <v>0</v>
      </c>
      <c r="T98" s="35">
        <f t="shared" si="3"/>
        <v>0</v>
      </c>
      <c r="U98" s="35">
        <f t="shared" si="3"/>
        <v>0</v>
      </c>
      <c r="V98" s="35">
        <f t="shared" si="3"/>
        <v>1799</v>
      </c>
    </row>
    <row r="99" spans="1:22" x14ac:dyDescent="0.25">
      <c r="A99" s="74" t="s">
        <v>129</v>
      </c>
      <c r="B99" s="74"/>
      <c r="C99" s="71"/>
      <c r="D99" s="13">
        <v>57</v>
      </c>
      <c r="E99" s="6">
        <v>25</v>
      </c>
      <c r="F99" s="6">
        <v>37</v>
      </c>
      <c r="G99" s="6">
        <v>0</v>
      </c>
      <c r="H99" s="6">
        <v>8</v>
      </c>
      <c r="I99" s="6">
        <v>12</v>
      </c>
      <c r="J99" s="6">
        <v>4</v>
      </c>
      <c r="K99" s="6">
        <v>0</v>
      </c>
      <c r="L99" s="6">
        <v>0</v>
      </c>
      <c r="M99" s="6">
        <v>0</v>
      </c>
      <c r="N99" s="6">
        <v>4</v>
      </c>
      <c r="O99" s="6">
        <v>10</v>
      </c>
      <c r="P99" s="6">
        <v>11</v>
      </c>
      <c r="Q99" s="6">
        <v>5</v>
      </c>
      <c r="R99" s="6">
        <v>4</v>
      </c>
      <c r="S99" s="6">
        <v>0</v>
      </c>
      <c r="T99" s="6">
        <v>0</v>
      </c>
      <c r="U99" s="6">
        <v>0</v>
      </c>
      <c r="V99" s="72">
        <f>SUM(D99:U99)</f>
        <v>177</v>
      </c>
    </row>
    <row r="100" spans="1:22" x14ac:dyDescent="0.25">
      <c r="A100" s="74" t="s">
        <v>130</v>
      </c>
      <c r="B100" s="74"/>
      <c r="C100" s="71"/>
      <c r="D100" s="13">
        <v>25</v>
      </c>
      <c r="E100" s="6">
        <v>40</v>
      </c>
      <c r="F100" s="6">
        <v>0</v>
      </c>
      <c r="G100" s="6">
        <v>18</v>
      </c>
      <c r="H100" s="6">
        <v>10</v>
      </c>
      <c r="I100" s="6">
        <v>19</v>
      </c>
      <c r="J100" s="6">
        <v>12</v>
      </c>
      <c r="K100" s="6">
        <v>2</v>
      </c>
      <c r="L100" s="6">
        <v>1</v>
      </c>
      <c r="M100" s="6">
        <v>4</v>
      </c>
      <c r="N100" s="6">
        <v>0</v>
      </c>
      <c r="O100" s="6">
        <v>0</v>
      </c>
      <c r="P100" s="6">
        <v>16</v>
      </c>
      <c r="Q100" s="6">
        <v>0</v>
      </c>
      <c r="R100" s="6">
        <v>6</v>
      </c>
      <c r="S100" s="6">
        <v>0</v>
      </c>
      <c r="T100" s="6">
        <v>0</v>
      </c>
      <c r="U100" s="6">
        <v>0</v>
      </c>
      <c r="V100" s="72">
        <f>SUM(D100:U100)</f>
        <v>153</v>
      </c>
    </row>
    <row r="101" spans="1:22" x14ac:dyDescent="0.25">
      <c r="A101" s="53" t="s">
        <v>26</v>
      </c>
      <c r="B101" s="53"/>
      <c r="C101" s="53"/>
      <c r="D101" s="35">
        <f>SUM(D99:D100)</f>
        <v>82</v>
      </c>
      <c r="E101" s="35">
        <f t="shared" ref="E101:U101" si="4">SUM(E99:E100)</f>
        <v>65</v>
      </c>
      <c r="F101" s="35">
        <f t="shared" si="4"/>
        <v>37</v>
      </c>
      <c r="G101" s="35">
        <f t="shared" si="4"/>
        <v>18</v>
      </c>
      <c r="H101" s="35">
        <f t="shared" si="4"/>
        <v>18</v>
      </c>
      <c r="I101" s="35">
        <f t="shared" si="4"/>
        <v>31</v>
      </c>
      <c r="J101" s="35">
        <f t="shared" si="4"/>
        <v>16</v>
      </c>
      <c r="K101" s="35">
        <f t="shared" si="4"/>
        <v>2</v>
      </c>
      <c r="L101" s="35">
        <f t="shared" si="4"/>
        <v>1</v>
      </c>
      <c r="M101" s="35">
        <f t="shared" si="4"/>
        <v>4</v>
      </c>
      <c r="N101" s="35">
        <f t="shared" si="4"/>
        <v>4</v>
      </c>
      <c r="O101" s="35">
        <f t="shared" si="4"/>
        <v>10</v>
      </c>
      <c r="P101" s="35">
        <f t="shared" si="4"/>
        <v>27</v>
      </c>
      <c r="Q101" s="35">
        <f t="shared" si="4"/>
        <v>5</v>
      </c>
      <c r="R101" s="35">
        <f t="shared" si="4"/>
        <v>10</v>
      </c>
      <c r="S101" s="35">
        <f t="shared" si="4"/>
        <v>0</v>
      </c>
      <c r="T101" s="35">
        <f t="shared" si="4"/>
        <v>0</v>
      </c>
      <c r="U101" s="35">
        <f t="shared" si="4"/>
        <v>0</v>
      </c>
      <c r="V101" s="35">
        <f>V89+V98</f>
        <v>4381</v>
      </c>
    </row>
    <row r="104" spans="1:22" x14ac:dyDescent="0.25">
      <c r="A104" s="10" t="s">
        <v>27</v>
      </c>
      <c r="B104" s="10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2"/>
      <c r="P104" s="12"/>
      <c r="Q104" s="12"/>
      <c r="R104" s="9"/>
      <c r="S104" s="3"/>
      <c r="T104" s="3"/>
      <c r="U104" s="3"/>
    </row>
  </sheetData>
  <mergeCells count="21">
    <mergeCell ref="A101:C101"/>
    <mergeCell ref="S2:S3"/>
    <mergeCell ref="T2:T3"/>
    <mergeCell ref="U2:U3"/>
    <mergeCell ref="H2:H3"/>
    <mergeCell ref="I2:N2"/>
    <mergeCell ref="O2:O3"/>
    <mergeCell ref="P2:P3"/>
    <mergeCell ref="Q2:Q3"/>
    <mergeCell ref="R2:R3"/>
    <mergeCell ref="A1:A3"/>
    <mergeCell ref="B1:B3"/>
    <mergeCell ref="C1:C3"/>
    <mergeCell ref="D1:S1"/>
    <mergeCell ref="A99:B99"/>
    <mergeCell ref="A100:B100"/>
    <mergeCell ref="V1:V3"/>
    <mergeCell ref="D2:D3"/>
    <mergeCell ref="E2:E3"/>
    <mergeCell ref="F2:F3"/>
    <mergeCell ref="G2:G3"/>
  </mergeCells>
  <pageMargins left="0.31496062992125984" right="0.31496062992125984" top="0.31496062992125984" bottom="0.31496062992125984" header="0.31496062992125984" footer="0.31496062992125984"/>
  <pageSetup paperSize="9" scale="4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4CA74-3A31-4306-ADD6-025B09417717}">
  <dimension ref="A1:W3"/>
  <sheetViews>
    <sheetView workbookViewId="0">
      <selection sqref="A1:W3"/>
    </sheetView>
  </sheetViews>
  <sheetFormatPr baseColWidth="10" defaultRowHeight="15.75" x14ac:dyDescent="0.25"/>
  <sheetData>
    <row r="1" spans="1:23" x14ac:dyDescent="0.25">
      <c r="A1" s="62" t="s">
        <v>128</v>
      </c>
      <c r="B1" s="62"/>
      <c r="C1" s="62"/>
      <c r="D1" s="62"/>
      <c r="E1" s="63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5"/>
      <c r="T1" s="65"/>
      <c r="U1" s="65" t="e">
        <f>SUM(#REF!)</f>
        <v>#REF!</v>
      </c>
      <c r="V1" s="65"/>
      <c r="W1" s="66"/>
    </row>
    <row r="2" spans="1:23" x14ac:dyDescent="0.25">
      <c r="A2" s="67">
        <v>1</v>
      </c>
      <c r="B2" s="68" t="s">
        <v>129</v>
      </c>
      <c r="C2" s="69"/>
      <c r="D2" s="33" t="s">
        <v>18</v>
      </c>
      <c r="E2" s="13">
        <v>57</v>
      </c>
      <c r="F2" s="6">
        <v>25</v>
      </c>
      <c r="G2" s="6">
        <v>37</v>
      </c>
      <c r="H2" s="6">
        <v>0</v>
      </c>
      <c r="I2" s="6">
        <v>8</v>
      </c>
      <c r="J2" s="6">
        <v>12</v>
      </c>
      <c r="K2" s="6">
        <v>4</v>
      </c>
      <c r="L2" s="6">
        <v>0</v>
      </c>
      <c r="M2" s="6">
        <v>0</v>
      </c>
      <c r="N2" s="6">
        <v>0</v>
      </c>
      <c r="O2" s="6">
        <v>4</v>
      </c>
      <c r="P2" s="6">
        <v>10</v>
      </c>
      <c r="Q2" s="6">
        <v>11</v>
      </c>
      <c r="R2" s="6">
        <v>5</v>
      </c>
      <c r="S2" s="6">
        <v>4</v>
      </c>
      <c r="T2" s="6">
        <v>0</v>
      </c>
      <c r="U2" s="6">
        <v>0</v>
      </c>
      <c r="V2" s="6">
        <v>0</v>
      </c>
      <c r="W2" s="22">
        <f>SUM(E2:V2)</f>
        <v>177</v>
      </c>
    </row>
    <row r="3" spans="1:23" x14ac:dyDescent="0.25">
      <c r="A3" s="70">
        <v>2</v>
      </c>
      <c r="B3" s="68"/>
      <c r="C3" s="69"/>
      <c r="D3" s="8"/>
      <c r="E3" s="13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2"/>
    </row>
  </sheetData>
  <mergeCells count="3">
    <mergeCell ref="A1:D1"/>
    <mergeCell ref="B2:C2"/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W10</dc:creator>
  <cp:lastModifiedBy>KATHERINE SOFIA PAREJA MAMANI</cp:lastModifiedBy>
  <cp:lastPrinted>2025-11-19T14:29:03Z</cp:lastPrinted>
  <dcterms:created xsi:type="dcterms:W3CDTF">2023-11-13T23:50:23Z</dcterms:created>
  <dcterms:modified xsi:type="dcterms:W3CDTF">2025-11-19T14:41:24Z</dcterms:modified>
</cp:coreProperties>
</file>